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/Documents/Documents-prod01/1_PROJECTS_ACTIVE/2026-01-06-Alma-Business-Case/"/>
    </mc:Choice>
  </mc:AlternateContent>
  <xr:revisionPtr revIDLastSave="0" documentId="8_{685EDFF9-8100-034E-B40D-D4D208D30570}" xr6:coauthVersionLast="47" xr6:coauthVersionMax="47" xr10:uidLastSave="{00000000-0000-0000-0000-000000000000}"/>
  <bookViews>
    <workbookView xWindow="-32560" yWindow="5420" windowWidth="26440" windowHeight="15440" xr2:uid="{7994D988-BA7E-0146-9E22-76500946A132}"/>
  </bookViews>
  <sheets>
    <sheet name="Sheet1" sheetId="1" r:id="rId1"/>
  </sheets>
  <definedNames>
    <definedName name="_xlchart.v1.10" hidden="1">Sheet1!$A$5:$A$10</definedName>
    <definedName name="_xlchart.v1.11" hidden="1">Sheet1!$B$4</definedName>
    <definedName name="_xlchart.v1.12" hidden="1">Sheet1!$B$5:$B$10</definedName>
    <definedName name="_xlchart.v1.13" hidden="1">Sheet1!$C$4</definedName>
    <definedName name="_xlchart.v1.14" hidden="1">Sheet1!$C$5:$C$10</definedName>
    <definedName name="_xlchart.v1.15" hidden="1">Sheet1!$A$5:$A$10</definedName>
    <definedName name="_xlchart.v1.16" hidden="1">Sheet1!$B$4</definedName>
    <definedName name="_xlchart.v1.17" hidden="1">Sheet1!$B$5:$B$10</definedName>
    <definedName name="_xlchart.v1.18" hidden="1">Sheet1!$C$4</definedName>
    <definedName name="_xlchart.v1.19" hidden="1">Sheet1!$C$5:$C$10</definedName>
    <definedName name="_xlchart.v1.5" hidden="1">Sheet1!$A$5:$A$10</definedName>
    <definedName name="_xlchart.v1.6" hidden="1">Sheet1!$D$4</definedName>
    <definedName name="_xlchart.v1.7" hidden="1">Sheet1!$D$5:$D$10</definedName>
    <definedName name="_xlchart.v1.8" hidden="1">Sheet1!$E$4</definedName>
    <definedName name="_xlchart.v1.9" hidden="1">Sheet1!$E$5:$E$10</definedName>
    <definedName name="_xlchart.v2.0" hidden="1">Sheet1!$A$5:$A$10</definedName>
    <definedName name="_xlchart.v2.1" hidden="1">Sheet1!$D$4</definedName>
    <definedName name="_xlchart.v2.2" hidden="1">Sheet1!$D$5:$D$10</definedName>
    <definedName name="_xlchart.v2.3" hidden="1">Sheet1!$E$4</definedName>
    <definedName name="_xlchart.v2.4" hidden="1">Sheet1!$E$5:$E$10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B22" i="1"/>
  <c r="E21" i="1"/>
  <c r="D21" i="1"/>
  <c r="B21" i="1"/>
  <c r="E20" i="1"/>
  <c r="D20" i="1"/>
  <c r="B20" i="1"/>
  <c r="E19" i="1"/>
  <c r="D19" i="1"/>
  <c r="B19" i="1"/>
</calcChain>
</file>

<file path=xl/sharedStrings.xml><?xml version="1.0" encoding="utf-8"?>
<sst xmlns="http://schemas.openxmlformats.org/spreadsheetml/2006/main" count="28" uniqueCount="25">
  <si>
    <t>Alma Security - Security KPI Trends</t>
  </si>
  <si>
    <t>October 2024 - March 2026</t>
  </si>
  <si>
    <t>Date</t>
  </si>
  <si>
    <t>TTD (Hours)</t>
  </si>
  <si>
    <t>TTI (Hours)</t>
  </si>
  <si>
    <t>TTR-CJC (Days)</t>
  </si>
  <si>
    <t>TTR-C (Days)</t>
  </si>
  <si>
    <t>Oct 2024</t>
  </si>
  <si>
    <t>Jan 2025</t>
  </si>
  <si>
    <t>Jul 2025</t>
  </si>
  <si>
    <t>Nov 2025</t>
  </si>
  <si>
    <t>Jan 2026</t>
  </si>
  <si>
    <t>Mar 2026</t>
  </si>
  <si>
    <t>KPI Definitions:</t>
  </si>
  <si>
    <t>TTD: Time to Detect malicious behavior</t>
  </si>
  <si>
    <t>TTI: Time to Investigate malicious behavior</t>
  </si>
  <si>
    <t>TTR-CJC: Time to Remediate critical vulns on Crown Jewel systems</t>
  </si>
  <si>
    <t>TTR-C: Time to Remediate critical vulns on all systems</t>
  </si>
  <si>
    <t>Improvement Summary (Oct 2024 → Mar 2026):</t>
  </si>
  <si>
    <t>TTD</t>
  </si>
  <si>
    <t>→</t>
  </si>
  <si>
    <t>TTI</t>
  </si>
  <si>
    <t>TTR-CJC</t>
  </si>
  <si>
    <t>TTR-C</t>
  </si>
  <si>
    <t>NOTE: This is a fictional case study for educational purposes by Simply Cyber Academy.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</si>
</sst>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6"/>
      <name val="Cambria"/>
      <family val="1"/>
    </font>
    <font>
      <i/>
      <sz val="11"/>
      <color rgb="FF666666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0"/>
      <name val="Cambria"/>
      <family val="1"/>
    </font>
    <font>
      <b/>
      <sz val="11"/>
      <color rgb="FF007030"/>
      <name val="Cambria"/>
      <family val="1"/>
    </font>
    <font>
      <i/>
      <sz val="9"/>
      <color rgb="FF666666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2E74B5"/>
        <bgColor rgb="FF4A7E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/>
    <xf numFmtId="0" fontId="5" fillId="0" borderId="0" xfId="0" applyFont="1"/>
    <xf numFmtId="9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Detection Metrics (Hours)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TTD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Oct 2024</c:v>
                </c:pt>
                <c:pt idx="1">
                  <c:v>Jan 2025</c:v>
                </c:pt>
                <c:pt idx="2">
                  <c:v>Jul 2025</c:v>
                </c:pt>
                <c:pt idx="3">
                  <c:v>Nov 2025</c:v>
                </c:pt>
                <c:pt idx="4">
                  <c:v>Jan 2026</c:v>
                </c:pt>
                <c:pt idx="5">
                  <c:v>Mar 2026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81</c:v>
                </c:pt>
                <c:pt idx="1">
                  <c:v>62</c:v>
                </c:pt>
                <c:pt idx="2">
                  <c:v>29</c:v>
                </c:pt>
                <c:pt idx="3">
                  <c:v>12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C-1D41-96D3-4F340AA2FDD9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TTI (Hours)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Oct 2024</c:v>
                </c:pt>
                <c:pt idx="1">
                  <c:v>Jan 2025</c:v>
                </c:pt>
                <c:pt idx="2">
                  <c:v>Jul 2025</c:v>
                </c:pt>
                <c:pt idx="3">
                  <c:v>Nov 2025</c:v>
                </c:pt>
                <c:pt idx="4">
                  <c:v>Jan 2026</c:v>
                </c:pt>
                <c:pt idx="5">
                  <c:v>Mar 2026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82</c:v>
                </c:pt>
                <c:pt idx="1">
                  <c:v>72</c:v>
                </c:pt>
                <c:pt idx="2">
                  <c:v>41</c:v>
                </c:pt>
                <c:pt idx="3">
                  <c:v>16</c:v>
                </c:pt>
                <c:pt idx="4">
                  <c:v>14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C-1D41-96D3-4F340AA2F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417504"/>
        <c:axId val="728225792"/>
      </c:lineChart>
      <c:catAx>
        <c:axId val="72841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25792"/>
        <c:crosses val="autoZero"/>
        <c:auto val="1"/>
        <c:lblAlgn val="ctr"/>
        <c:lblOffset val="100"/>
        <c:noMultiLvlLbl val="0"/>
      </c:catAx>
      <c:valAx>
        <c:axId val="7282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Remediation Metrics</a:t>
            </a:r>
            <a:r>
              <a:rPr lang="en-US" baseline="0"/>
              <a:t>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TTR-CJC (Days)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Oct 2024</c:v>
                </c:pt>
                <c:pt idx="1">
                  <c:v>Jan 2025</c:v>
                </c:pt>
                <c:pt idx="2">
                  <c:v>Jul 2025</c:v>
                </c:pt>
                <c:pt idx="3">
                  <c:v>Nov 2025</c:v>
                </c:pt>
                <c:pt idx="4">
                  <c:v>Jan 2026</c:v>
                </c:pt>
                <c:pt idx="5">
                  <c:v>Mar 2026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6"/>
                <c:pt idx="0">
                  <c:v>21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8-504A-B0E3-D974F44D8D71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TTR-C (Days)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Oct 2024</c:v>
                </c:pt>
                <c:pt idx="1">
                  <c:v>Jan 2025</c:v>
                </c:pt>
                <c:pt idx="2">
                  <c:v>Jul 2025</c:v>
                </c:pt>
                <c:pt idx="3">
                  <c:v>Nov 2025</c:v>
                </c:pt>
                <c:pt idx="4">
                  <c:v>Jan 2026</c:v>
                </c:pt>
                <c:pt idx="5">
                  <c:v>Mar 2026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6"/>
                <c:pt idx="0">
                  <c:v>51</c:v>
                </c:pt>
                <c:pt idx="1">
                  <c:v>43</c:v>
                </c:pt>
                <c:pt idx="2">
                  <c:v>29</c:v>
                </c:pt>
                <c:pt idx="3">
                  <c:v>17</c:v>
                </c:pt>
                <c:pt idx="4">
                  <c:v>12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8-504A-B0E3-D974F44D8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501199"/>
        <c:axId val="1255504895"/>
      </c:lineChart>
      <c:catAx>
        <c:axId val="125550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04895"/>
        <c:crosses val="autoZero"/>
        <c:auto val="1"/>
        <c:lblAlgn val="ctr"/>
        <c:lblOffset val="100"/>
        <c:noMultiLvlLbl val="0"/>
      </c:catAx>
      <c:valAx>
        <c:axId val="12555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0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</xdr:colOff>
      <xdr:row>0</xdr:row>
      <xdr:rowOff>38100</xdr:rowOff>
    </xdr:from>
    <xdr:to>
      <xdr:col>12</xdr:col>
      <xdr:colOff>279400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F39D9-3486-F9D1-FFED-BCD286BE6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16</xdr:row>
      <xdr:rowOff>25400</xdr:rowOff>
    </xdr:from>
    <xdr:to>
      <xdr:col>12</xdr:col>
      <xdr:colOff>215900</xdr:colOff>
      <xdr:row>30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A8110-4A2B-DC35-99A1-D5F8435F1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B866-ED60-CA4C-8436-F3DB76A7FC2C}">
  <dimension ref="A1:E24"/>
  <sheetViews>
    <sheetView tabSelected="1" workbookViewId="0">
      <selection activeCell="F15" sqref="F15"/>
    </sheetView>
  </sheetViews>
  <sheetFormatPr baseColWidth="10" defaultRowHeight="16" x14ac:dyDescent="0.2"/>
  <sheetData>
    <row r="1" spans="1:5" ht="21" x14ac:dyDescent="0.25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">
      <c r="A5" s="4" t="s">
        <v>7</v>
      </c>
      <c r="B5" s="5">
        <v>81</v>
      </c>
      <c r="C5" s="5">
        <v>82</v>
      </c>
      <c r="D5" s="5">
        <v>21</v>
      </c>
      <c r="E5" s="5">
        <v>51</v>
      </c>
    </row>
    <row r="6" spans="1:5" x14ac:dyDescent="0.2">
      <c r="A6" s="4" t="s">
        <v>8</v>
      </c>
      <c r="B6" s="5">
        <v>62</v>
      </c>
      <c r="C6" s="5">
        <v>72</v>
      </c>
      <c r="D6" s="5">
        <v>17</v>
      </c>
      <c r="E6" s="5">
        <v>43</v>
      </c>
    </row>
    <row r="7" spans="1:5" x14ac:dyDescent="0.2">
      <c r="A7" s="4" t="s">
        <v>9</v>
      </c>
      <c r="B7" s="5">
        <v>29</v>
      </c>
      <c r="C7" s="5">
        <v>41</v>
      </c>
      <c r="D7" s="5">
        <v>12</v>
      </c>
      <c r="E7" s="5">
        <v>29</v>
      </c>
    </row>
    <row r="8" spans="1:5" x14ac:dyDescent="0.2">
      <c r="A8" s="4" t="s">
        <v>10</v>
      </c>
      <c r="B8" s="5">
        <v>12</v>
      </c>
      <c r="C8" s="5">
        <v>16</v>
      </c>
      <c r="D8" s="5">
        <v>9</v>
      </c>
      <c r="E8" s="5">
        <v>17</v>
      </c>
    </row>
    <row r="9" spans="1:5" x14ac:dyDescent="0.2">
      <c r="A9" s="4" t="s">
        <v>11</v>
      </c>
      <c r="B9" s="5">
        <v>9</v>
      </c>
      <c r="C9" s="5">
        <v>14</v>
      </c>
      <c r="D9" s="5">
        <v>8</v>
      </c>
      <c r="E9" s="5">
        <v>12</v>
      </c>
    </row>
    <row r="10" spans="1:5" x14ac:dyDescent="0.2">
      <c r="A10" s="4" t="s">
        <v>12</v>
      </c>
      <c r="B10" s="5">
        <v>7</v>
      </c>
      <c r="C10" s="5">
        <v>11</v>
      </c>
      <c r="D10" s="5">
        <v>6</v>
      </c>
      <c r="E10" s="5">
        <v>9</v>
      </c>
    </row>
    <row r="12" spans="1:5" x14ac:dyDescent="0.2">
      <c r="A12" s="6" t="s">
        <v>13</v>
      </c>
    </row>
    <row r="13" spans="1:5" x14ac:dyDescent="0.2">
      <c r="A13" s="7" t="s">
        <v>14</v>
      </c>
    </row>
    <row r="14" spans="1:5" x14ac:dyDescent="0.2">
      <c r="A14" s="7" t="s">
        <v>15</v>
      </c>
    </row>
    <row r="15" spans="1:5" x14ac:dyDescent="0.2">
      <c r="A15" s="7" t="s">
        <v>16</v>
      </c>
    </row>
    <row r="16" spans="1:5" x14ac:dyDescent="0.2">
      <c r="A16" s="7" t="s">
        <v>17</v>
      </c>
    </row>
    <row r="18" spans="1:5" x14ac:dyDescent="0.2">
      <c r="A18" s="6" t="s">
        <v>18</v>
      </c>
    </row>
    <row r="19" spans="1:5" x14ac:dyDescent="0.2">
      <c r="A19" s="7" t="s">
        <v>19</v>
      </c>
      <c r="B19">
        <f>B5</f>
        <v>81</v>
      </c>
      <c r="C19" t="s">
        <v>20</v>
      </c>
      <c r="D19">
        <f>B10</f>
        <v>7</v>
      </c>
      <c r="E19" s="8">
        <f>1-(B10/B5)</f>
        <v>0.91358024691358031</v>
      </c>
    </row>
    <row r="20" spans="1:5" x14ac:dyDescent="0.2">
      <c r="A20" s="7" t="s">
        <v>21</v>
      </c>
      <c r="B20">
        <f>C5</f>
        <v>82</v>
      </c>
      <c r="C20" t="s">
        <v>20</v>
      </c>
      <c r="D20">
        <f>C10</f>
        <v>11</v>
      </c>
      <c r="E20" s="8">
        <f>1-(C10/C5)</f>
        <v>0.86585365853658536</v>
      </c>
    </row>
    <row r="21" spans="1:5" x14ac:dyDescent="0.2">
      <c r="A21" s="7" t="s">
        <v>22</v>
      </c>
      <c r="B21">
        <f>D5</f>
        <v>21</v>
      </c>
      <c r="C21" t="s">
        <v>20</v>
      </c>
      <c r="D21">
        <f>D10</f>
        <v>6</v>
      </c>
      <c r="E21" s="8">
        <f>1-(D10/D5)</f>
        <v>0.7142857142857143</v>
      </c>
    </row>
    <row r="22" spans="1:5" x14ac:dyDescent="0.2">
      <c r="A22" s="7" t="s">
        <v>23</v>
      </c>
      <c r="B22">
        <f>E5</f>
        <v>51</v>
      </c>
      <c r="C22" t="s">
        <v>20</v>
      </c>
      <c r="D22">
        <f>E10</f>
        <v>9</v>
      </c>
      <c r="E22" s="8">
        <f>1-(E10/E5)</f>
        <v>0.82352941176470584</v>
      </c>
    </row>
    <row r="24" spans="1:5" x14ac:dyDescent="0.2">
      <c r="A24" s="9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McMichael</dc:creator>
  <cp:lastModifiedBy>Steve McMichael</cp:lastModifiedBy>
  <dcterms:created xsi:type="dcterms:W3CDTF">2026-01-06T11:09:36Z</dcterms:created>
  <dcterms:modified xsi:type="dcterms:W3CDTF">2026-01-06T11:12:31Z</dcterms:modified>
</cp:coreProperties>
</file>