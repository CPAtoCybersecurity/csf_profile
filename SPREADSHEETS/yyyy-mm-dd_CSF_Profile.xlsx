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30"/>
  <workbookPr codeName="ThisWorkbook" defaultThemeVersion="202300"/>
  <mc:AlternateContent xmlns:mc="http://schemas.openxmlformats.org/markup-compatibility/2006">
    <mc:Choice Requires="x15">
      <x15ac:absPath xmlns:x15ac="http://schemas.microsoft.com/office/spreadsheetml/2010/11/ac" url="/Users/steve/csf_profile_clean/SPREADSHEETS/"/>
    </mc:Choice>
  </mc:AlternateContent>
  <xr:revisionPtr revIDLastSave="0" documentId="13_ncr:1_{F44ED88F-949E-DF42-917F-6F0AEBA4E97F}" xr6:coauthVersionLast="47" xr6:coauthVersionMax="47" xr10:uidLastSave="{00000000-0000-0000-0000-000000000000}"/>
  <bookViews>
    <workbookView xWindow="-38400" yWindow="-1460" windowWidth="38400" windowHeight="19880" xr2:uid="{89415ED1-5C32-8D40-8CF6-512DEE38C7C4}"/>
  </bookViews>
  <sheets>
    <sheet name="README" sheetId="8" r:id="rId1"/>
    <sheet name="yyyy-mm-dd_CSF_Profile" sheetId="1" r:id="rId2"/>
    <sheet name="Pivot by Function" sheetId="3" r:id="rId3"/>
    <sheet name="Category Pivot Radar" sheetId="5" r:id="rId4"/>
    <sheet name="Category Pivot Bar" sheetId="7" r:id="rId5"/>
  </sheets>
  <definedNames>
    <definedName name="_xlnm._FilterDatabase" localSheetId="4" hidden="1">'Category Pivot Bar'!$A$1:$B$109</definedName>
    <definedName name="_xlnm._FilterDatabase" localSheetId="3" hidden="1">'Category Pivot Radar'!$A$1:$B$109</definedName>
  </definedNames>
  <calcPr calcId="191029"/>
  <pivotCaches>
    <pivotCache cacheId="19" r:id="rId6"/>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5" i="3" l="1"/>
  <c r="B15" i="3"/>
  <c r="C15" i="3"/>
  <c r="A16" i="3"/>
  <c r="B16" i="3"/>
  <c r="C16" i="3"/>
  <c r="A17" i="3"/>
  <c r="B17" i="3"/>
  <c r="C17" i="3"/>
  <c r="A18" i="3"/>
  <c r="B18" i="3"/>
  <c r="C18" i="3"/>
  <c r="A19" i="3"/>
  <c r="B19" i="3"/>
  <c r="C19" i="3"/>
  <c r="A20" i="3"/>
  <c r="B20" i="3"/>
  <c r="D20" i="3" s="1"/>
  <c r="C20" i="3"/>
  <c r="B14" i="3"/>
  <c r="C14" i="3"/>
  <c r="A14" i="3"/>
  <c r="D15" i="3" l="1"/>
  <c r="D14" i="3"/>
  <c r="D18" i="3"/>
  <c r="D19" i="3"/>
  <c r="D17" i="3"/>
  <c r="D16" i="3"/>
</calcChain>
</file>

<file path=xl/sharedStrings.xml><?xml version="1.0" encoding="utf-8"?>
<sst xmlns="http://schemas.openxmlformats.org/spreadsheetml/2006/main" count="10532" uniqueCount="1367">
  <si>
    <t>ID</t>
  </si>
  <si>
    <t>Function</t>
  </si>
  <si>
    <t>Function Description</t>
  </si>
  <si>
    <t>Category ID</t>
  </si>
  <si>
    <t>Category</t>
  </si>
  <si>
    <t>Category Description</t>
  </si>
  <si>
    <t>Subcategory ID</t>
  </si>
  <si>
    <t>Subcategory Description</t>
  </si>
  <si>
    <t>Implementation Example</t>
  </si>
  <si>
    <t>Implementation Description</t>
  </si>
  <si>
    <t xml:space="preserve">In Scope? </t>
  </si>
  <si>
    <t>Owner</t>
  </si>
  <si>
    <t>Stakeholder(s)</t>
  </si>
  <si>
    <t>Auditor</t>
  </si>
  <si>
    <t>NIST 800-53 Control Ref</t>
  </si>
  <si>
    <t>Test Procedure(s)</t>
  </si>
  <si>
    <t>Q1 Actual Score</t>
  </si>
  <si>
    <t>Q1 Target Score</t>
  </si>
  <si>
    <t>Q1 Observations</t>
  </si>
  <si>
    <t>Q1 Observation Date</t>
  </si>
  <si>
    <t>Q1 Testing Status</t>
  </si>
  <si>
    <t>Q1 Examine</t>
  </si>
  <si>
    <t>Q1 Interview</t>
  </si>
  <si>
    <t>Q1 Test</t>
  </si>
  <si>
    <t>Q2 Actual Score</t>
  </si>
  <si>
    <t>Q2 Target Score</t>
  </si>
  <si>
    <t>Q2 Observations</t>
  </si>
  <si>
    <t>Q2 Observation Date</t>
  </si>
  <si>
    <t>Q2 Testing Status</t>
  </si>
  <si>
    <t>Q2 Examine</t>
  </si>
  <si>
    <t>Q2 Interview</t>
  </si>
  <si>
    <t>Q2 Test</t>
  </si>
  <si>
    <t>Q3 Actual Score</t>
  </si>
  <si>
    <t>Q3 Target Score</t>
  </si>
  <si>
    <t>Q3 Observations</t>
  </si>
  <si>
    <t>Q3 Observation Date</t>
  </si>
  <si>
    <t>Q3 Testing Status</t>
  </si>
  <si>
    <t>Q3 Examine</t>
  </si>
  <si>
    <t>Q3 Interview</t>
  </si>
  <si>
    <t>Q3 Test</t>
  </si>
  <si>
    <t>Q4 Actual Score</t>
  </si>
  <si>
    <t>Q4 Target Score</t>
  </si>
  <si>
    <t>Q4 Observations</t>
  </si>
  <si>
    <t>Q4 Observation Date</t>
  </si>
  <si>
    <t>Q4 Testing Status</t>
  </si>
  <si>
    <t>Q4 Examine</t>
  </si>
  <si>
    <t>Q4 Interview</t>
  </si>
  <si>
    <t>Q4 Test</t>
  </si>
  <si>
    <t>Remediation Owner</t>
  </si>
  <si>
    <t>Remediation Due Date</t>
  </si>
  <si>
    <t>Minimum Target</t>
  </si>
  <si>
    <t>Action Plan</t>
  </si>
  <si>
    <t>Artifact Name</t>
  </si>
  <si>
    <t>GV.SC-04 Ex1</t>
  </si>
  <si>
    <t>GOVERN (GV)</t>
  </si>
  <si>
    <t>The organization's cybersecurity risk management strategy, expectations, and policy are established, communicated, and monitored</t>
  </si>
  <si>
    <t>GV.SC</t>
  </si>
  <si>
    <t>Cybersecurity Supply Chain Risk Management (GV.SC)</t>
  </si>
  <si>
    <t>Cyber supply chain risk management processes are identified, established, managed, monitored, and improved by organizational stakeholders</t>
  </si>
  <si>
    <t>GV.SC-04</t>
  </si>
  <si>
    <t>Suppliers are known and prioritized by criticality</t>
  </si>
  <si>
    <t>Ex1: Develop criteria for supplier criticality based on, for example, the sensitivity of data processed or possessed by suppliers, the degree of access to the organization's systems, and the importance of the products or services to the organization's mission</t>
  </si>
  <si>
    <t>Alma Security maintains a supplier inventory in ServiceNow with criticality ratings based on three factors: 
- (1) sensitivity of data processed (with biometric data suppliers rated highest), 
- (2) degree of system access granted, and 
- (3) importance to the continuous authentication mission. The Third Party Risk Management Policy defines tiering criteria and requires quarterly reviews with CISO and Procurement sign-off.</t>
  </si>
  <si>
    <t>Yes</t>
  </si>
  <si>
    <t>gerry &lt;gerry@almasecurity.com&gt;</t>
  </si>
  <si>
    <t>jane &lt;jane@almasecurity.com&gt;; john &lt;john@almasecurity.com&gt;</t>
  </si>
  <si>
    <t>steve &lt;steve@almasecurity.com&gt;</t>
  </si>
  <si>
    <t>RA-09,SA-09,SR-06</t>
  </si>
  <si>
    <t>Supplier criticality criteria fully developed and approved. Third Party Risk Management Policy implemented. All critical suppliers identified and ranked by data sensitivity, system access level, and mission importance.</t>
  </si>
  <si>
    <t>Complete</t>
  </si>
  <si>
    <t>Criticality framework operationalized with ServiceNow integration. Automated supplier risk scoring deployed. Quarterly reviews of supplier criticality ratings conducted with stakeholder sign-off.</t>
  </si>
  <si>
    <t>In Progress</t>
  </si>
  <si>
    <t>No</t>
  </si>
  <si>
    <t>Not Started</t>
  </si>
  <si>
    <t>Third Party Risk Management Policy</t>
  </si>
  <si>
    <t>GV.OC-01 Ex1</t>
  </si>
  <si>
    <t>GV.OC</t>
  </si>
  <si>
    <t>Organizational Context (GV.OC)</t>
  </si>
  <si>
    <t>The circumstances - mission, stakeholder expectations, dependencies, and legal, regulatory, and contractual requirements - surrounding the organization's cybersecurity risk management decisions are understood</t>
  </si>
  <si>
    <t>GV.OC-01</t>
  </si>
  <si>
    <t>The organizational mission is understood and informs cybersecurity risk management</t>
  </si>
  <si>
    <t>Ex1: Share the organization's mission (e.g., through vision and mission statements, marketing, and service strategies) to provide a basis for identifying risks that may impede that mission</t>
  </si>
  <si>
    <t>Alma Security's mission "to ensure businesses can continuously authenticate their users using their whole selves" is documented on the company website and communicated through quarterly Board briefings and monthly management meetings. Security investments and risk appetite decisions are explicitly tied to mission objectives, including strategic partnerships like the Apple Passkey integration (G8).</t>
  </si>
  <si>
    <t>PM-11</t>
  </si>
  <si>
    <t>1. Inquiry: CEO, CISO
2. Inspect Website
3. Inspect quarterly Board agenda, slides and minutes
4. Inspect monthly management agenda, slides and minutes</t>
  </si>
  <si>
    <t>Mission "Ensure businesses can continuously authenticate users using their whole selves" documented and communicated organization-wide. Mission directly informs risk appetite and security investment decisions.</t>
  </si>
  <si>
    <t>Mission-aligned risk management fully operational. Board receives quarterly security posture updates tied to mission objectives. Apple Passkey partnership risk assessment completed supporting G8 goal.</t>
  </si>
  <si>
    <t>GV.RR-02 Ex1</t>
  </si>
  <si>
    <t>GV.RR</t>
  </si>
  <si>
    <t>Roles, Responsibilities, and Authorities (GV.RR)</t>
  </si>
  <si>
    <t>Cybersecurity roles, responsibilities, and authorities to foster accountability, performance assessment, and continuous improvement are established and communicated</t>
  </si>
  <si>
    <t>GV.RR-02</t>
  </si>
  <si>
    <t>Roles, responsibilities, and authorities related to cybersecurity risk management are established, communicated, understood, and enforced</t>
  </si>
  <si>
    <t>Ex1: Document risk management roles and responsibilities in policy</t>
  </si>
  <si>
    <t>Cybersecurity roles are documented in the Information Security Policy and RACI matrix. The security team structure includes: Nadia Khan (Detection &amp; Response Lead), Chris Magann (Vulnerability Management Lead), and Tigan Wang (Vulnerability Management). The CISO reports directly to the CEO with quarterly Board reporting. Risk management authorities are defined for each role with escalation paths.</t>
  </si>
  <si>
    <t>PM-02,PM-13,PM-19,PM-23,PM-24,PM-29</t>
  </si>
  <si>
    <t>1. Inquiry: CISO, 2. Inspect cybersecurity policy, 3. Inspect RACI matrix</t>
  </si>
  <si>
    <t>RACI matrix completed and communicated. Security team roles clearly defined: Nadia Khan (D&amp;R Lead), Chris Magann (VM Lead), Tigan Wang (VM). Risk management authorities documented in policy.</t>
  </si>
  <si>
    <t>Roles enforced through formal governance process. Team expanded per STS1 hiring strategy. Cross-functional coordination meetings established with IT, Legal, and Product teams.</t>
  </si>
  <si>
    <t>GV.OC-02 Ex1</t>
  </si>
  <si>
    <t>GV.OC-02</t>
  </si>
  <si>
    <t>Internal and external stakeholders are understood, and their needs and expectations regarding cybersecurity risk management are understood and considered</t>
  </si>
  <si>
    <t>Ex1: Identify relevant internal stakeholders and their cybersecurity-related expectations (e.g., performance and risk expectations of officers, directors, and advisors; cultural expectations of employees)</t>
  </si>
  <si>
    <t>Alma Security identifies stakeholder expectations through: 
- (1) quarterly Board meetings capturing director expectations, 
- (2) monthly executive meetings for officer input, 
- (3) employee training feedback via Workday, and 
- (4) customer trust surveys following the 2022 security events. Expectations are documented in the security service catalog and inform the public trust rebuilding program.</t>
  </si>
  <si>
    <t>PM-09,PM-18,PM-30,SR-03,SR-05,SR-06,SR-08</t>
  </si>
  <si>
    <t>Internal and external stakeholder mapping completed. Customer expectations for biometric data security documented. Executive and Board expectations formally captured in security charter.</t>
  </si>
  <si>
    <t>Stakeholder expectations integrated into security service catalog. Public trust rebuilding program (addressing 2022 events) showing measurable progress. Regular stakeholder feedback mechanisms operational.</t>
  </si>
  <si>
    <t>GV.OV-01 Ex2</t>
  </si>
  <si>
    <t>GV.OV</t>
  </si>
  <si>
    <t>Oversight (GV.OV)</t>
  </si>
  <si>
    <t>Results of organization-wide cybersecurity risk management activities and performance are used to inform, improve, and adjust the risk management strategy</t>
  </si>
  <si>
    <t>GV.OV-01</t>
  </si>
  <si>
    <t>Cybersecurity risk management strategy outcomes are reviewed to inform and adjust strategy and direction</t>
  </si>
  <si>
    <t>Ex2: Examine whether cybersecurity risk strategies that impede operations or innovation should be adjusted</t>
  </si>
  <si>
    <t>Alma Security tracks five KPIs quarterly: Time to Detect (TTD), Time to Investigate (TTI), Time to Remediate Crown Jewels (TTR-CJC), Time to Remediate All Systems (TTR-C), and Public Trust Score. Board and management review KPI trends to adjust strategy. Investments in detection capabilities are approved based on demonstrated KPI improvement, balancing security with operational and innovation needs.</t>
  </si>
  <si>
    <t>AC-01,AT-01,AU-01,CA-01,CM-01,CP-01,IA-01,IR-01,MA-01,MP-01,PE-01,PL-01,PM-01,PM-09,PM-18,PM-30,PM-31,PS-01,PT-01,RA-01,RA-07,SA-01,SC-01,SI-01,SR-01,SR-06</t>
  </si>
  <si>
    <t>1. Inquiry: CEO, CISO, 2. Inspect Board meeting minutes, 3. Inspect management meeting minutes</t>
  </si>
  <si>
    <t>Comprehensive KPI framework operational: TTD=9hrs (down from 81hrs), TTI=14hrs, TTR-CJC=8 days, TTR-C=12 days. Board reviews strategy outcomes quarterly. Risk strategies balanced against operational needs.</t>
  </si>
  <si>
    <t>Strategy outcomes drive resource allocation. TTR-CJC now under 6 days (Mar 2024). Detection capability investments approved based on KPI trends. Innovation-enabling approach adopted.</t>
  </si>
  <si>
    <t>GV.RM-01 Ex2</t>
  </si>
  <si>
    <t>GV.RM</t>
  </si>
  <si>
    <t>Risk Management Strategy (GV.RM)</t>
  </si>
  <si>
    <t>The organization's priorities, constraints, risk tolerance and appetite statements, and assumptions are established, communicated, and used to support operational risk decisions</t>
  </si>
  <si>
    <t>GV.RM-01</t>
  </si>
  <si>
    <t>Risk management objectives are established and agreed to by organizational stakeholders</t>
  </si>
  <si>
    <t>Ex2: Establish measurable objectives for cybersecurity risk management (e.g., manage the quality of user training, ensure adequate risk protection for industrial control systems)</t>
  </si>
  <si>
    <t>Risk management objectives are established with Board approval and tracked via automated dashboards: TTD target &lt;4 minutes by Jan 2025, TTR-CJC target &lt;16 hours by Aug 2025. Objectives align with company goals G1-G8. Monthly management reviews assess progress, with ASM vendor selection addressing risk register items R2 (perimeter monitoring) and R4 (asset inventory).</t>
  </si>
  <si>
    <t>PM-09,RA-07,SR-02</t>
  </si>
  <si>
    <t>1. Inquiry: CISO, 2. Inspect quarterly Board slides, 3. Inspect monthly management slides</t>
  </si>
  <si>
    <t>Measurable risk management objectives established with Board approval: TTD &amp;lt;4min by Jan 2025, TTR-CJC &amp;lt;16hrs by Aug 2025. Objectives aligned with company goals G1-G8.</t>
  </si>
  <si>
    <t>Objectives tracked with automated dashboards. Significant progress: TTD reduced 89% from baseline. ASM vendor selected to address R2/R4 risks. Monthly management reviews of objective progress.</t>
  </si>
  <si>
    <t>GV.RR-01 Ex4</t>
  </si>
  <si>
    <t>GV.RR-01</t>
  </si>
  <si>
    <t>Organizational leadership is responsible and accountable for cybersecurity risk and fosters a culture that is risk-aware, ethical, and continually improving</t>
  </si>
  <si>
    <t>Ex4: Conduct reviews to ensure adequate authority and coordination among those responsible for managing cybersecurity risk</t>
  </si>
  <si>
    <t>The Security Governance Charter establishes CISO authority and accountability with direct CEO reporting and quarterly Board presentations. Coordination reviews occur through weekly security-IT meetings and monthly cross-functional sessions with Legal and Product teams. The hiring strategy (STS1) to add 5 A-tier professionals addresses the 50% understaffing risk (R1).</t>
  </si>
  <si>
    <t>PM-02,PM-19,PM-23,PM-24,PM-29</t>
  </si>
  <si>
    <t>1. Inquiry: CEO, CISO, 2. Inspect security governance charter, 3. Inspect coordination meeting minutes</t>
  </si>
  <si>
    <t>Security governance charter approved. CISO reports directly to CEO with Board visibility. Authority reviews completed. Coordination protocols established despite staffing constraints.</t>
  </si>
  <si>
    <t>Leadership accountability demonstrated through quarterly Board presentations. Hiring authority approved for 5 additional A-tier professionals (STS1). Cross-functional coordination meetings formalized.</t>
  </si>
  <si>
    <t>GV.SC-01 Ex3</t>
  </si>
  <si>
    <t>GV.SC-01</t>
  </si>
  <si>
    <t>A cybersecurity supply chain risk management program, strategy, objectives, policies, and processes are established and agreed to by organizational stakeholders</t>
  </si>
  <si>
    <t>Ex3: Develop and implement program processes based on the strategy, objectives, policies, and procedures that are agreed upon and performed by the organizational stakeholders</t>
  </si>
  <si>
    <t>Alma Security's SCRM program includes: 
- (1) documented strategy aligned with the authentication mission, - (2) vendor management policy with tiered requirements, 
- (3) ServiceNow workflows for vendor assessments and onboarding, and 
- (4) performance metrics tracked quarterly. The Apple Passkey integration drives enhanced vendor security requirements with Feb 2025 audit planned.</t>
  </si>
  <si>
    <t>PM-30,SR-02,SR-03</t>
  </si>
  <si>
    <t>SCRM program established with documented strategy, objectives, and policies. Vendor management policy approved. ServiceNow assessment workflows deployed for critical vendors.</t>
  </si>
  <si>
    <t>Program processes fully operational. Apple Passkey integration (G8) vendor requirements defined and enforced. Program performance metrics tracked. Feb 2025 audit scope finalized.</t>
  </si>
  <si>
    <t>GV.SC-02 Ex7</t>
  </si>
  <si>
    <t>GV.SC-02</t>
  </si>
  <si>
    <t>Cybersecurity roles and responsibilities for suppliers, customers, and partners are established, communicated, and coordinated internally and externally</t>
  </si>
  <si>
    <t>Ex7: Internally communicate cybersecurity supply chain risk management roles and responsibilities for third parties</t>
  </si>
  <si>
    <t>SCRM roles are defined in the RACI matrix and communicated through: 
- (1) internal procurement team training via Workday, 
- (2) supplier contracts with security requirements, and 
- (3) RFP templates with mandatory security clauses. Procurement staff complete SCRM certification. Critical suppliers receive formal communication of their cybersecurity responsibilities.</t>
  </si>
  <si>
    <t>SR-02,SR-03,SR-05</t>
  </si>
  <si>
    <t>Supplier cybersecurity roles documented internally. RACI for third-party risk management completed. Procurement team trained on SCRM responsibilities.</t>
  </si>
  <si>
    <t>Roles communicated externally to all critical suppliers via updated contracts. Procurement staff certified on SCRM. Supplier security requirements included in RFP templates.</t>
  </si>
  <si>
    <t>GV.SC-06 Ex3</t>
  </si>
  <si>
    <t>GV.SC-06</t>
  </si>
  <si>
    <t>Planning and due diligence are performed to reduce risks before entering into formal supplier or other third-party relationships</t>
  </si>
  <si>
    <t>Ex3: Conduct supplier risk assessments against business and applicable cybersecurity requirements</t>
  </si>
  <si>
    <t>Vendor due diligence is performed through ServiceNow onboarding workflows requiring: 
- (1) security questionnaire completion, 
- (2) risk assessment against tiered criteria, 
- (3) evidence collection for critical vendors. Assessments must be completed before contract execution. Results inform contract terms including security requirements and audit rights. The Apple Passkey vendor assessment included remediation tracking.</t>
  </si>
  <si>
    <t>SA-04,SA-09,SR-05,SR-06</t>
  </si>
  <si>
    <t>Vendor risk assessment criteria standardized. ServiceNow onboarding workflow operational. Due diligence requirements documented for all vendor tiers.</t>
  </si>
  <si>
    <t>Risk assessments mandatory before contract execution. Apple Passkey vendor assessment completed with remediation tracking. Assessment results inform contract terms.</t>
  </si>
  <si>
    <t>GV.SC-10 Ex3</t>
  </si>
  <si>
    <t>GV.SC-10</t>
  </si>
  <si>
    <t>Cybersecurity supply chain risk management plans include provisions for activities that occur after the conclusion of a partnership or service agreement</t>
  </si>
  <si>
    <t>Ex3: Verify that supplier access to organization resources is deactivated promptly when it is no longer needed</t>
  </si>
  <si>
    <t>Supplier offboarding is managed through a comprehensive checklist integrated with the procurement workflow. Access termination is automated to complete within 24 hours of contract end. The process includes: (1) access review across all systems, (2) credential revocation in SSO, (3) removal from Slack and collaboration tools, (4) audit trail documentation. Sample audits verify compliance.</t>
  </si>
  <si>
    <t>PM-31,RA-03,RA-05,RA-07,SA-04,SA-09,SR-02,SR-03,SR-05,SR-06</t>
  </si>
  <si>
    <t>1. Inquiry: CISO, Procurement, 2. Inspect offboarding checklist, 3. Inspect sample of terminated supplier accounts</t>
  </si>
  <si>
    <t>Comprehensive offboarding checklist implemented. Supplier access termination procedures documented. Access reviews conducted upon contract termination.</t>
  </si>
  <si>
    <t>Automated access deactivation within 24 hours for terminated suppliers. Sample audits confirm compliance. Offboarding process integrated with procurement workflow.</t>
  </si>
  <si>
    <t>GV.SC-09 Ex5</t>
  </si>
  <si>
    <t>GV.SC-09</t>
  </si>
  <si>
    <t>Supply chain security practices are integrated into cybersecurity and enterprise risk management programs, and their performance is monitored throughout the technology product and service life cycle</t>
  </si>
  <si>
    <t>Ex5: Policies and procedure require checking upgrades to critical hardware for unauthorized changes</t>
  </si>
  <si>
    <t>Supply chain security is integrated into the ERM program through: (1) cybersecurity policy requirements for hardware change verification, (2) change management procedures for critical infrastructure upgrades, (3) lifecycle monitoring for technology products. Hardware changes are verified against authorized baselines, with automation deployed where possible through AWS Config and infrastructure-as-code.</t>
  </si>
  <si>
    <t>PM-09,PM-19,PM-28,PM-30,PM-31,RA-03,RA-07,SA-04,SA-09,SR-02,SR-03,SR-05,SR-06</t>
  </si>
  <si>
    <t>1. Inquiry: CISO, CIO, 2. Inspect cybersecurity policy, 3. Inspect change management policy</t>
  </si>
  <si>
    <t>Supply chain security practices documented in cybersecurity policy. Critical hardware change verification procedures established. Integration with ERM program initiated.</t>
  </si>
  <si>
    <t>Full ERM integration achieved. Hardware change verification automated where possible. Lifecycle monitoring operational for critical technology products.</t>
  </si>
  <si>
    <t>ID.RA-07 Ex1</t>
  </si>
  <si>
    <t>IDENTIFY (ID)</t>
  </si>
  <si>
    <t>The organization's current cybersecurity risks are understood</t>
  </si>
  <si>
    <t>ID.RA</t>
  </si>
  <si>
    <t>Risk Assessment (ID.RA)</t>
  </si>
  <si>
    <t>The cybersecurity risk to the organization, assets, and individuals is understood by the organization</t>
  </si>
  <si>
    <t>ID.RA-07</t>
  </si>
  <si>
    <t>Changes and exceptions are managed, assessed for risk impact, recorded, and tracked</t>
  </si>
  <si>
    <t>Ex1: Implement and follow procedures for the formal documentation, review, testing, and approval of proposed changes and requested exceptions</t>
  </si>
  <si>
    <t>Change management is governed by policy requiring: (1) formal documentation of proposed changes in ServiceNow, (2) risk impact assessment for changes affecting crown jewel systems, (3) testing and approval workflows, (4) exception documentation with CISO approval. Sample audits track compliance (currently 85%). Crown jewel systems require additional security review.</t>
  </si>
  <si>
    <t>chris.magann &lt;chris.magann@almasecurity.com&gt;</t>
  </si>
  <si>
    <t>CA-07,CM-03,CM-04</t>
  </si>
  <si>
    <t>1. Inquiry: CISO, Change Manager, 2. Inspect change management policy, 3. Inspect sample of change requests</t>
  </si>
  <si>
    <t>Change management policy exists. Exception documentation process established but enforcement inconsistent across teams.</t>
  </si>
  <si>
    <t>Change requests formally documented and tracked. Risk impact assessments required for crown jewel systems. Sample audits show 85% compliance with documented procedures.</t>
  </si>
  <si>
    <t>Implement automated change management enforcement in ServiceNow. Extend mandatory risk impact assessments to all systems (not just crown jewels). Conduct training for all teams on change documentation requirements. Target 95% compliance.</t>
  </si>
  <si>
    <t>PR.AT-01 Ex2</t>
  </si>
  <si>
    <t>PROTECT (PR)</t>
  </si>
  <si>
    <t>Safeguards to manage the organization's cybersecurity risks are used</t>
  </si>
  <si>
    <t>PR.AT</t>
  </si>
  <si>
    <t>Awareness and Training (PR.AT)</t>
  </si>
  <si>
    <t>The organization's personnel are provided with cybersecurity awareness and training so that they can perform their cybersecurity-related tasks</t>
  </si>
  <si>
    <t>PR.AT-01</t>
  </si>
  <si>
    <t>Personnel are provided with awareness and training so that they possess the knowledge and skills to perform general tasks with cybersecurity risks in mind</t>
  </si>
  <si>
    <t>Ex2: Train personnel to recognize social engineering attempts and other common attacks, report attacks and suspicious activity, comply with acceptable use policies, and perform basic cyber hygiene tasks (e.g., patching software, choosing passwords, protecting credentials)</t>
  </si>
  <si>
    <t>Security awareness training is delivered quarterly through Workday with modules covering: (1) social engineering and phishing recognition, (2) attack reporting procedures via Slack #security-alerts, (3) acceptable use policy compliance, (4) basic cyber hygiene including password management and credential protection. Phishing simulations measure effectiveness. New hire onboarding includes mandatory security training.</t>
  </si>
  <si>
    <t>AT-02,AT-03</t>
  </si>
  <si>
    <t>1. Inquiry: CISO, HR, 2. Inspect security training policy, 3. Inspect sample of training records</t>
  </si>
  <si>
    <t>Security awareness program operational with quarterly training. Social engineering and phishing modules deployed. Training records maintained in Workday with 90% completion rate.</t>
  </si>
  <si>
    <t>Training program achieving target completion rates. Phishing simulation click rates improved 40% from baseline. Cyber hygiene training integrated into new hire onboarding.</t>
  </si>
  <si>
    <t>Submitted</t>
  </si>
  <si>
    <t>PR.IR-02 Ex1</t>
  </si>
  <si>
    <t>PR.IR</t>
  </si>
  <si>
    <t>Technology Infrastructure Resilience (PR.IR)</t>
  </si>
  <si>
    <t>Security architectures are managed with the organization's risk strategy to protect asset confidentiality, integrity, and availability, and organizational resilience</t>
  </si>
  <si>
    <t>PR.IR-02</t>
  </si>
  <si>
    <t>The organization's technology assets are protected from environmental threats</t>
  </si>
  <si>
    <t>Ex1: Protect organizational equipment from known environmental threats, such as flooding, fire, wind, and excessive heat and humidity</t>
  </si>
  <si>
    <t>Environmental protection includes: 
- (1) Redwood City data center with fire suppression, HVAC monitoring, and physical access controls protecting the Windows DC serving 300 employees, 
- (2) AWS infrastructure leveraging multi-AZ deployment with native resilience controls, 
- (3) documented environmental threat assessments and tested response procedures.</t>
  </si>
  <si>
    <t>CP-02,PE-09,PE-10,PE-11,PE-12,PE-13,PE-14,PE-15,PE-18,PE-23</t>
  </si>
  <si>
    <t>Redwood City data center environmental controls documented. Windows DC hosting 300 employees protected. AWS infrastructure leverages native resilience controls.</t>
  </si>
  <si>
    <t>Environmental threat protection verified and documented. AWS multi-AZ deployment operational. On-prem DC controls tested and certified. Fire suppression and HVAC monitoring active.</t>
  </si>
  <si>
    <t>RS.MI-02 Ex2</t>
  </si>
  <si>
    <t>RESPOND (RS)</t>
  </si>
  <si>
    <t>Actions regarding a detected cybersecurity incident are taken</t>
  </si>
  <si>
    <t>RS.MI</t>
  </si>
  <si>
    <t>Incident Mitigation (RS.MI)</t>
  </si>
  <si>
    <t>Activities are performed to prevent expansion of an event and mitigate its effects</t>
  </si>
  <si>
    <t>RS.MI-02</t>
  </si>
  <si>
    <t>Incidents are eradicated</t>
  </si>
  <si>
    <t>Ex2: Allow incident responders to manually select and perform eradication actions</t>
  </si>
  <si>
    <t>Incident eradication is managed by Nadia Khan's Detection &amp; Response team using documented playbooks with decision trees. The Incident Response Enhancement project ($150K) delivers improved eradication procedures. Incident responders select from approved eradication actions based on incident type, with escalation paths defined for complex scenarios requiring manual intervention.</t>
  </si>
  <si>
    <t>IR-04</t>
  </si>
  <si>
    <t>1. Inquiry: CISO, Incident Commander, 2. Inspect eradication procedure, 3. Inspect sample of incidents</t>
  </si>
  <si>
    <t>Eradication procedures documented with defined escalation paths. TTI at 14 hours. Nadia Khan leads D&amp;R with documented playbooks for common incident types.</t>
  </si>
  <si>
    <t>Eradication capabilities mature. Incident Response Enhancement project ($150K) delivering improved playbooks. Manual eradication options well-documented with decision trees.</t>
  </si>
  <si>
    <t>DE.AE-02 Ex1</t>
  </si>
  <si>
    <t>DETECT (DE)</t>
  </si>
  <si>
    <t>Possible cybersecurity attacks and compromises are found and analyzed</t>
  </si>
  <si>
    <t>DE.AE</t>
  </si>
  <si>
    <t>Adverse Event Analysis (DE.AE)</t>
  </si>
  <si>
    <t>Anomalies, indicators of compromise, and other potentially adverse events are analyzed to characterize the events and detect cybersecurity incidents</t>
  </si>
  <si>
    <t>DE.AE-02</t>
  </si>
  <si>
    <t>Potentially adverse events are analyzed to better understand associated activities</t>
  </si>
  <si>
    <t>Ex1: Use security information and event management (SIEM) or other tools to continuously monitor log events for known malicious and suspicious activity</t>
  </si>
  <si>
    <t>Alma Security uses AWS CloudTrail and GuardDuty for SIEM-like log monitoring. Detection rules are tuned based on threat intelligence with current TTD at 9 hours. The Incident Response Enhancement project addresses 24/7 monitoring gaps. Log analysis covers malicious activity patterns across AWS accounts with expanded use cases added quarterly.</t>
  </si>
  <si>
    <t>nadia.khan &lt;nadia.khan@almasecurity.com&gt;</t>
  </si>
  <si>
    <t>jane &lt;jane@almasecurity.com&gt;; John Doe &lt;john@doe.com&gt;</t>
  </si>
  <si>
    <t>AU-06,CA-07,IR-04,SI-04</t>
  </si>
  <si>
    <t>CloudTrail and GuardDuty provide SIEM-like functionality. TTD at 9 hours. Malicious activity detection rules tuned based on threat intelligence.</t>
  </si>
  <si>
    <t>SIEM monitoring expanded with additional use cases. Log analysis frequency increased. Incident Response Enhancement project addressing 24/7 monitoring gap.</t>
  </si>
  <si>
    <t>Complete Incident Response Enhancement project deliverables for 24/7 monitoring. Add additional SIEM use cases for non-AWS systems. Implement log analysis automation to reduce manual review burden.</t>
  </si>
  <si>
    <t>DE.AE-06 Ex1</t>
  </si>
  <si>
    <t>DE.AE-06</t>
  </si>
  <si>
    <t>Information on adverse events is provided to authorized staff and tools</t>
  </si>
  <si>
    <t>Ex1: Use cybersecurity software to generate alerts and provide them to the security operations center (SOC), incident responders, and incident response tools</t>
  </si>
  <si>
    <t>GuardDuty generates alerts routed to the security team via Slack with severity-based prioritization. SOC procedures define handoff between business hours staff and on-call rotation. Alert triage follows the priority matrix with escalation paths. Progress toward 24/7 coverage planned through STS1 hiring strategy.</t>
  </si>
  <si>
    <t>jane &lt;jane@almasecurity.com&gt;</t>
  </si>
  <si>
    <t>IR-04,PM-15,PM-16,RA-04,RA-10</t>
  </si>
  <si>
    <t>1. Inquiry: CISO, SOC Manager, 2. Inspect SOC procedures, 3. Observe SOC handoff meeting</t>
  </si>
  <si>
    <t>GuardDuty alerts configured and routed to security team. Alert prioritization matrix implemented. Business hours coverage with on-call rotation.</t>
  </si>
  <si>
    <t>Alert routing enhanced with severity-based escalation. SOC handoff procedures documented. Progress toward 24/7 coverage with planned staffing increase.</t>
  </si>
  <si>
    <t>Hire additional SOC staff per STS1 strategy to enable 24/7 coverage. Complete SOC handoff procedure documentation. Implement automated alert escalation for critical severity findings.</t>
  </si>
  <si>
    <t>DE.CM-01 Ex1</t>
  </si>
  <si>
    <t>DE.CM</t>
  </si>
  <si>
    <t>Continuous Monitoring (DE.CM)</t>
  </si>
  <si>
    <t>Assets are monitored to find anomalies, indicators of compromise, and other potentially adverse events</t>
  </si>
  <si>
    <t>DE.CM-01</t>
  </si>
  <si>
    <t>Networks and network services are monitored to find potentially adverse events</t>
  </si>
  <si>
    <t>Ex1: Monitor DNS, BGP, and other network services for adverse events</t>
  </si>
  <si>
    <t>Network monitoring is performed through: (1) CloudTrail for API activity, (2) VPC Flow Logs for network traffic, (3) DNS query logging. The selected ASM vendor (addressing R2) will provide external perimeter monitoring. SOC dashboards display network service status with alerting for anomalies. Coverage expands per the implementation plan.</t>
  </si>
  <si>
    <t>tigan.wang &lt;tigan.wang@almasecurity.com&gt;</t>
  </si>
  <si>
    <t>AC-02,AU-12,CA-07,CM-03,SC-05,SC-07,SI-04</t>
  </si>
  <si>
    <t>1. Inquiry: CISO, Network Ops, 2. Inspect network monitoring policy, 3. Observe SOC dashboards</t>
  </si>
  <si>
    <t>Network monitoring via CloudTrail and VPC Flow Logs. DNS monitoring configured. External perimeter visibility limited pending ASM deployment.</t>
  </si>
  <si>
    <t>ASM vendor selected (addressing R2). DNS/BGP monitoring operational. Network service monitoring dashboards deployed. Coverage expanding per implementation plan.</t>
  </si>
  <si>
    <t>Complete ASM solution deployment and integration. Expand DNS/BGP monitoring coverage to all network segments. Deploy network service monitoring dashboards to SOC. Address R2 risk register item.</t>
  </si>
  <si>
    <t>SOC-Ticket-1004</t>
  </si>
  <si>
    <t>ID.RA-01 Ex1</t>
  </si>
  <si>
    <t>ID.RA-01</t>
  </si>
  <si>
    <t>Vulnerabilities in assets are identified, validated, and recorded</t>
  </si>
  <si>
    <t>Ex1: Use vulnerability management technologies to identify unpatched and misconfigured software</t>
  </si>
  <si>
    <t>Vulnerability management is led by Chris Magann and Tigan Wang using automated scanning tools. Scan configurations cover crown jewel systems with higher frequency. Vulnerability reports are reviewed weekly with TTR-C currently at 11 days. Findings are prioritized based on CVSS score and asset criticality, tracked through remediation to closure.</t>
  </si>
  <si>
    <t>CA-02,CA-07,CA-08,RA-03,RA-05,SA-11(02),SA-15(07),SA-15(08),SI-04,SI-05</t>
  </si>
  <si>
    <t>1. Inquiry: CISO, 2. Inspect vulnerability scan configs, 3. Inspect vulnerability reports</t>
  </si>
  <si>
    <t>Vulnerability scanning operational with Chris Magann and Tigan Wang leading VM program. Scan configs documented. Regular scanning of crown jewel systems.</t>
  </si>
  <si>
    <t>VM program mature with TTR-C at 11 days (Apr 2024). Vulnerability reports reviewed weekly. Crown jewel systems prioritized. Automated scanning and reporting operational.</t>
  </si>
  <si>
    <t>PR.DS-01 Ex4</t>
  </si>
  <si>
    <t>PR.DS</t>
  </si>
  <si>
    <t>Data Security (PR.DS)</t>
  </si>
  <si>
    <t>Data are managed consistent with the organization's risk strategy to protect the confidentiality, integrity, and availability of information</t>
  </si>
  <si>
    <t>PR.DS-01</t>
  </si>
  <si>
    <t>The confidentiality, integrity, and availability of data-at-rest are protected</t>
  </si>
  <si>
    <t>Ex4: Restrict the use of removable media to prevent data exfiltration</t>
  </si>
  <si>
    <t>Data-at-rest protection includes: (1) encryption policy requiring AES-256 for sensitive data, (2) S3 bucket encryption enforced via bucket policies (S3 Bucket Security project), (3) removable media controls deployed through SentinelOne endpoint policy. The Data Encryption Upgrade project ($95K) enhances encryption across all data stores.</t>
  </si>
  <si>
    <t>CA-03,CP-09,MP-08,SC-04,SC-07,SC-12,SC-13,SC-28,SC-32,SC-39,SC-43,SI-03,SI-04,SI-07</t>
  </si>
  <si>
    <t>1. Inquiry: CISO, 2. Inspect encryption policy, 3. Inspect endpoint config standards</t>
  </si>
  <si>
    <t>Encryption policy documented and approved. S3 bucket security project in progress. Removable media restrictions planned for endpoint deployment.</t>
  </si>
  <si>
    <t>Data encryption upgrade project approved ($95K). Removable media controls deployed on managed endpoints. S3 bucket encryption enforced.</t>
  </si>
  <si>
    <t>Execute Data Encryption Upgrade project ($95K). Extend removable media controls to all managed endpoints including servers. Verify S3 bucket encryption enforcement across all buckets.</t>
  </si>
  <si>
    <t>PR.IR-03 Ex3</t>
  </si>
  <si>
    <t>PR.IR-03</t>
  </si>
  <si>
    <t>Mechanisms are implemented to achieve resilience requirements in normal and adverse situations</t>
  </si>
  <si>
    <t>Ex3: Use high-availability components like redundant storage and power supplies to improve system reliability</t>
  </si>
  <si>
    <t>Resilience is achieved through: (1) AWS multi-AZ deployment for production workloads, (2) Kubernetes infrastructure with pod redundancy and auto-scaling, (3) redundant storage and compute for critical systems. Failover testing validates recovery capabilities. DR plan development continues as part of the Cloud Security Optimization project ($100K).</t>
  </si>
  <si>
    <t>CP,IR,SA-08,SC-06,SC-24,SC-36,SC-39,SI-13</t>
  </si>
  <si>
    <t>1. Inquiry: CISO, IT Ops, 2. Inspect HA/DR plans, 3. Observe failover tests</t>
  </si>
  <si>
    <t>AWS provides multi-AZ redundancy. Kubernetes infrastructure configured for resilience. HA components deployed for critical workloads.</t>
  </si>
  <si>
    <t>Resilience mechanisms documented and tested. Failover testing completed successfully. DR plan development progressing as part of cloud security optimization project.</t>
  </si>
  <si>
    <t>Complete DR plan development under Cloud Security Optimization project. Conduct additional failover testing scenarios. Document and test recovery procedures for all critical workloads.</t>
  </si>
  <si>
    <t>PR.PS-01 Ex1</t>
  </si>
  <si>
    <t>PR.PS</t>
  </si>
  <si>
    <t>Platform Security (PR.PS)</t>
  </si>
  <si>
    <t>The hardware, software (e.g., firmware, operating systems, applications), and services of physical and virtual platforms are managed consistent with the organization's risk strategy to protect their confidentiality, integrity, and availability</t>
  </si>
  <si>
    <t>PR.PS-01</t>
  </si>
  <si>
    <t>Configuration management practices are established and applied</t>
  </si>
  <si>
    <t>Ex1: Establish, test, deploy, and maintain hardened baselines that enforce the organization's cybersecurity policies and provide only essential capabilities (i.e., principle of least functionality)</t>
  </si>
  <si>
    <t>Configuration management includes: (1) hardened baselines for Amazon Linux 2 and Ubuntu documented and enforced via automation, (2) baseline compliance monitoring through AWS Config, (3) deviation alerting and remediation tracking. Legacy Windows 2012 fileserver upgrade is planned for Q3. 95% of systems deployed to hardened baselines.</t>
  </si>
  <si>
    <t>CM-01,CM-02,CM-03,CM-04,CM-05,CM-06,CM-07,CM-08,CM-09,CM-10,CM-11</t>
  </si>
  <si>
    <t>1. Inquiry: CISO, IT Ops, 2. Inspect config mgmt policy, 3. Inspect sample of baselines</t>
  </si>
  <si>
    <t>Configuration baselines established for Amazon Linux 2 and Ubuntu. Windows 2012 fileserver remediation planned. Baseline compliance monitored.</t>
  </si>
  <si>
    <t>Config management policy enforced. Hardened baselines deployed to 95% of systems. Legacy Windows 2012 upgrade project initiated with Q3 completion target.</t>
  </si>
  <si>
    <t>Complete Windows 2012 fileserver upgrade to supported OS version. Extend hardened baseline deployment to remaining 5% of systems. Implement automated baseline compliance remediation.</t>
  </si>
  <si>
    <t>PR.PS-05 Ex1</t>
  </si>
  <si>
    <t>PR.PS-05</t>
  </si>
  <si>
    <t>Installation and execution of unauthorized software are prevented</t>
  </si>
  <si>
    <t>Ex1: When risk warrants it, restrict software execution to permitted products only or deny the execution of prohibited and unauthorized software</t>
  </si>
  <si>
    <t>Unauthorized software prevention is implemented through: (1) SentinelOne application control on workstations and laptops, (2) app control policy defining permitted software, (3) Kubernetes node restrictions (shared SSH key remediation in progress). Server-side controls expand SentinelOne enforcement. Policy exceptions require CISO approval.</t>
  </si>
  <si>
    <t>CM-07(02),CM-07(04),CM-07(05),SC-34</t>
  </si>
  <si>
    <t>1. Inquiry: CISO, IT Ops, 2. Inspect app control policy, 3. Inspect sample of system configs</t>
  </si>
  <si>
    <t>SentinelOne deployed on workstations/laptops with application control. Server-side controls being evaluated.</t>
  </si>
  <si>
    <t>App control policy approved and deployed. SentinelOne enforcement expanded. Kubernetes node SSH access remediation in progress (shared key to be replaced).</t>
  </si>
  <si>
    <t>Remediate shared developer SSH key on Kubernetes nodes - issue individual keys per developer. Expand server-side application control deployment. Complete app control policy exception review.</t>
  </si>
  <si>
    <t>RC.RP-03 Ex1</t>
  </si>
  <si>
    <t>RECOVER (RC)</t>
  </si>
  <si>
    <t>Assets and operations affected by a cybersecurity incident are restored</t>
  </si>
  <si>
    <t>RC.RP</t>
  </si>
  <si>
    <t>Incident Recovery Plan Execution (RC.RP)</t>
  </si>
  <si>
    <t>Restoration activities are performed to ensure operational availability of systems and services affected by cybersecurity incidents</t>
  </si>
  <si>
    <t>RC.RP-03</t>
  </si>
  <si>
    <t>The integrity of backups and other restoration assets is verified before using them for restoration</t>
  </si>
  <si>
    <t>Ex1: Check restoration assets for indicators of compromise, file corruption, and other integrity issues before use</t>
  </si>
  <si>
    <t>Backup integrity verification includes: (1) automated checksums for S3 backups, (2) monthly integrity validation by DR Manager, (3) quarterly restore testing to verify recoverability. The S3 Bucket Security project enhances backup protection with versioning and cross-region replication. Restoration assets are checked for IOCs before recovery use.</t>
  </si>
  <si>
    <t>CP-02,CP-04,CP-09</t>
  </si>
  <si>
    <t>1. Inquiry: CISO, DR Manager, 2. Inspect backup verification procedure, 3. Inspect sample of restores</t>
  </si>
  <si>
    <t>Backup verification procedures documented. DR Manager validates backup integrity monthly. Manual integrity checks performed.</t>
  </si>
  <si>
    <t>Backup integrity verification improved with automated checksums. Restore testing scheduled quarterly. S3 bucket security project enhances backup protection.</t>
  </si>
  <si>
    <t>Implement automated IOC scanning for backup restoration assets. Expand quarterly restore testing to cover all critical systems. Complete S3 bucket security project backup protection enhancements.</t>
  </si>
  <si>
    <t>RS.MI-01 Ex1</t>
  </si>
  <si>
    <t>RS.MI-01</t>
  </si>
  <si>
    <t>Incidents are contained</t>
  </si>
  <si>
    <t>Ex1: Cybersecurity technologies (e.g., antivirus software) and cybersecurity features of other technologies (e.g., operating systems, network infrastructure devices) automatically perform containment actions</t>
  </si>
  <si>
    <t>Incident containment is automated through: (1) SentinelOne automatic quarantine for malware, (2) GuardDuty auto-remediation for select finding types, (3) documented playbooks for manual containment. Common threat patterns trigger automated response. Complex incidents follow manual containment procedures with defined isolation steps.</t>
  </si>
  <si>
    <t>1. Inquiry: CISO, SOC Manager, 2. Inspect containment configs, 3. Inspect sample of incidents</t>
  </si>
  <si>
    <t>SentinelOne provides automated containment for malware. GuardDuty auto-remediation configured for select findings. Incident response playbooks documented.</t>
  </si>
  <si>
    <t>Containment capabilities expanded. Automated response for common threat patterns. Manual containment procedures well-documented for complex scenarios.</t>
  </si>
  <si>
    <t>Expand GuardDuty auto-remediation to additional finding types. Develop automated containment playbooks for top 10 incident types. Integrate containment actions with SOAR capabilities.</t>
  </si>
  <si>
    <t>DE.AE-03 Ex2</t>
  </si>
  <si>
    <t>DE.AE-03</t>
  </si>
  <si>
    <t>Information is correlated from multiple sources</t>
  </si>
  <si>
    <t>Ex2: Use event correlation technology (e.g., SIEM) to collect information captured by multiple sources</t>
  </si>
  <si>
    <t>Event correlation uses: (1) CloudTrail aggregating API events across accounts, (2) GuardDuty correlating findings from multiple AWS sources, (3) custom scripts for cross-source analysis. Multi-account GuardDuty findings are centralized. Script updates planned to enhance correlation capabilities across additional sources.</t>
  </si>
  <si>
    <t>AU-06,CA-07,IR-04,IR-05,IR-08,PM-16,SI-04</t>
  </si>
  <si>
    <t>CloudTrail and GuardDuty provide event correlation. Multiple AWS sources integrated. SIEM-style correlation limited to AWS-native tools.</t>
  </si>
  <si>
    <t>Event correlation improving with additional source integration. GuardDuty findings correlated across accounts. Script updates planned for enhanced correlation.</t>
  </si>
  <si>
    <t>Complete correlation script updates for enhanced cross-source analysis. Integrate additional log sources beyond AWS into correlation engine. Deploy centralized SIEM dashboard for multi-source visibility.</t>
  </si>
  <si>
    <t>DE.CM-03 Ex2</t>
  </si>
  <si>
    <t>DE.CM-03</t>
  </si>
  <si>
    <t>Personnel activity and technology usage are monitored to find potentially adverse events</t>
  </si>
  <si>
    <t>Ex2: Monitor logs from logical access control systems to find unusual access patterns and failed access attempts</t>
  </si>
  <si>
    <t>Personnel activity monitoring includes: (1) CloudTrail logging all IAM actions, (2) SSO authentication logs via Windows Authenticator and Palo Alto 2FA, (3) failed authentication alerting and tracking. The IAM team reviews anomalies daily. SOC dashboards (60% complete) will provide consolidated access pattern visibility.</t>
  </si>
  <si>
    <t>AC-02,AU-12,AU-13,CA-07,CM-10,CM-11</t>
  </si>
  <si>
    <t>1. Inquiry: CISO, IAM Team, 2. Inspect logical monitoring policy, 3. Observe SOC dashboards</t>
  </si>
  <si>
    <t>Logical access monitoring via CloudTrail. SSO with Windows Authenticator and Palo Alto 2FA provides authentication logging. IAM team reviews anomalies.</t>
  </si>
  <si>
    <t>Access pattern monitoring enhanced. Failed authentication tracking and alerting operational. SOC dashboard development 60% complete.</t>
  </si>
  <si>
    <t>Complete SOC dashboard development (currently 60%). Implement automated alerting for anomalous access patterns. Expand failed authentication monitoring to all authentication systems.</t>
  </si>
  <si>
    <t>SOC-Ticket-1005</t>
  </si>
  <si>
    <t>DE.CM-09 Ex1</t>
  </si>
  <si>
    <t>DE.CM-09</t>
  </si>
  <si>
    <t>Computing hardware and software, runtime environments, and their data are monitored to find potentially adverse events</t>
  </si>
  <si>
    <t>Ex1: Monitor email, web, file sharing, collaboration services, and other common attack vectors to detect malware, phishing, data leaks and exfiltration, and other adverse events</t>
  </si>
  <si>
    <t>Computing environment monitoring includes: (1) O365 ATP for email and web traffic with Alma-specific threat rules, (2) Slack monitoring for policy violations, (3) system monitoring policy defining coverage scope. Data leak detection capabilities are evaluated for expansion. Collaboration service monitoring covers Outlook 365 and Slack.</t>
  </si>
  <si>
    <t>AC-04,AC-09,AU-12,CA-07,CM-03,CM-06,CM-10,CM-11,SC-34,SC-35,SI-04,SI-07</t>
  </si>
  <si>
    <t>1. Inquiry: CISO, IT Ops, 2. Inspect system monitoring policy, 3. Observe SOC dashboards</t>
  </si>
  <si>
    <t>O365 ATP monitors email/web traffic. Slack communications monitored for policy violations. Data leak detection capabilities being evaluated.</t>
  </si>
  <si>
    <t>System monitoring policy documented and approved. O365 ATP tuned for Alma-specific threats. Collaboration service monitoring scope expanded.</t>
  </si>
  <si>
    <t>Deploy data leak detection capabilities. Expand collaboration service monitoring to cover all sanctioned applications. Tune O365 ATP rules based on false positive analysis.</t>
  </si>
  <si>
    <t>ID.AM-02 Ex2</t>
  </si>
  <si>
    <t>ID.AM</t>
  </si>
  <si>
    <t>Asset Management (ID.AM)</t>
  </si>
  <si>
    <t>Assets (e.g., data, hardware, software, systems, facilities, services, people) that enable the organization to achieve business purposes are identified and managed consistent with their relative importance to organizational objectives and the organization's risk strategy</t>
  </si>
  <si>
    <t>ID.AM-02</t>
  </si>
  <si>
    <t>Inventories of software, services, and systems managed by the organization are maintained</t>
  </si>
  <si>
    <t>Ex2: Constantly monitor all platforms, including containers and virtual machines, for software and service inventory changes</t>
  </si>
  <si>
    <t>Software inventory is maintained through: (1) AWS native tools for cloud asset tracking (85% coverage), (2) discovery scans for on-premises systems, (3) container and VM monitoring via Kubernetes native capabilities. Asset inventory system procurement aligns with ASM vendor selection (STS4) to achieve comprehensive coverage.</t>
  </si>
  <si>
    <t>AC-20,CM-08,PM-05,SA-05,SA-09</t>
  </si>
  <si>
    <t>1. Inquiry: CISO, CIO, 2. Inspect software inventory, 3. Observe discovery scans</t>
  </si>
  <si>
    <t>Software inventory 70% complete. AWS assets tracked via native tools. Asset inventory system requirements documented (STS4).</t>
  </si>
  <si>
    <t>Inventory improving with 85% coverage. Cloud assets continuously tracked. Asset inventory system procurement aligned with ASM vendor selection.</t>
  </si>
  <si>
    <t>Complete asset inventory system procurement aligned with ASM vendor (STS4). Achieve 95% software inventory coverage. Implement continuous monitoring for container and VM inventory changes.</t>
  </si>
  <si>
    <t>ID.AM-07 Ex3</t>
  </si>
  <si>
    <t>ID.AM-07</t>
  </si>
  <si>
    <t>Inventories of data and corresponding metadata for designated data types are maintained</t>
  </si>
  <si>
    <t>Ex3: Assign data classifications to designated data types through tags or labels</t>
  </si>
  <si>
    <t>Data classification uses a tiered schema with biometric data classified as highest sensitivity per SG1. Classification tags are applied through: (1) data classification policy defining categories, (2) tagging implementation in production systems, (3) data scanning tool deployment (selected, scheduling underway). Metadata inventories track designated data types.</t>
  </si>
  <si>
    <t>CM-12,CM-13,SI-12</t>
  </si>
  <si>
    <t>1. Inquiry: CISO, Data Governance, 2. Inspect data classification policy, 3. Observe data scanning tool</t>
  </si>
  <si>
    <t>Data classification policy approved. Biometric data classified as highest sensitivity (SG1). Tagging implementation in pilot phase.</t>
  </si>
  <si>
    <t>Classification schema operationalized. Sensitive data types tagged in production systems. Data scanning tool selected and deployment scheduled.</t>
  </si>
  <si>
    <t>Complete data scanning tool deployment. Extend classification tagging to all production data stores. Implement automated classification for new data assets. Address biometric data inventory gaps.</t>
  </si>
  <si>
    <t>ID.IM-01 Ex1</t>
  </si>
  <si>
    <t>ID.IM</t>
  </si>
  <si>
    <t>Improvement (ID.IM)</t>
  </si>
  <si>
    <t>Improvements to organizational cybersecurity risk management processes, procedures and activities are identified across all CSF Functions</t>
  </si>
  <si>
    <t>ID.IM-01</t>
  </si>
  <si>
    <t>Improvements are identified from evaluations</t>
  </si>
  <si>
    <t>Ex1: Perform self-assessments of critical services that take current threats and TTPs into consideration</t>
  </si>
  <si>
    <t>Improvement identification uses: (1) quarterly self-assessments of critical services, (2) threat-informed risk assessments for crown jewel systems, (3) KPI-driven analysis identifying gaps. TTD/TTR metric trends inform security investment decisions. Risk assessment methodology incorporates current threat intelligence and TTPs.</t>
  </si>
  <si>
    <t>AC-01,AT-01,AU-01,CA-01,CA-02,CA-05,CA-07,CA-08,CM-01,CP-01,CP-02,IA-01,IR-01,IR-04,IR-08,MA-01,MP-01,PE-01,PL-01,PL-02,PM-01,PS-01,PT-01,RA-01,RA-03,RA-05,RA-07,SA-01,SA-08,SA-11,SA-17(06),SC-01,SI-01,SI-02,SI-04,SR-01,SR-05</t>
  </si>
  <si>
    <t>1. Inquiry: CISO, 2. Inspect risk assessment methodology, 3. Inspect sample of risk assessments</t>
  </si>
  <si>
    <t>Self-assessment program established. Risk assessment methodology documented. Threat-informed assessments conducted for crown jewel systems.</t>
  </si>
  <si>
    <t>Structured risk assessments completed quarterly. KPI-driven improvement identification operational. TTD/TTR trends inform security investments.</t>
  </si>
  <si>
    <t>Formalize self-assessment program with documented schedule. Expand threat-informed assessments beyond crown jewels. Implement improvement tracking dashboard linked to KPI trends.</t>
  </si>
  <si>
    <t>RS.MA-03 Ex2</t>
  </si>
  <si>
    <t>RS.MA</t>
  </si>
  <si>
    <t>Incident Management (RS.MA)</t>
  </si>
  <si>
    <t>Responses to detected cybersecurity incidents are managed</t>
  </si>
  <si>
    <t>RS.MA-03</t>
  </si>
  <si>
    <t>Incidents are categorized and prioritized</t>
  </si>
  <si>
    <t>Ex2: Prioritize incidents based on their scope, likely impact, and time-critical nature</t>
  </si>
  <si>
    <t>Incident prioritization uses a documented priority matrix based on: (1) scope of impact, (2) likely business impact, (3) time-critical nature. The SOC Manager validates prioritization decisions. Sample ticket audits verify consistent application. Incident tickets in ServiceNow capture categorization with priority justification.</t>
  </si>
  <si>
    <t>IR-04,IR-05,IR-06</t>
  </si>
  <si>
    <t>1. Inquiry: CISO, SOC Manager, 2. Inspect incident priority matrix, 3. Inspect sample of incident tickets</t>
  </si>
  <si>
    <t>Incident priority matrix approved. Scope and impact-based prioritization implemented. Time-critical incident handling procedures documented.</t>
  </si>
  <si>
    <t>Prioritization process consistently applied. Sample tickets demonstrate proper categorization. SOC Manager reviews validate prioritization decisions.</t>
  </si>
  <si>
    <t>Implement automated incident categorization based on detection signatures. Enhance priority matrix with additional impact criteria. Conduct SOC team training on prioritization consistency.</t>
  </si>
  <si>
    <t>DE.AE-02 Ex3</t>
  </si>
  <si>
    <t>Ex3: Regularly conduct manual reviews of log events for technologies that cannot be sufficiently monitored through automation</t>
  </si>
  <si>
    <t>Manual log review is performed for systems not covered by automated monitoring: (1) review cadence defined by system criticality, (2) documented review process with finding templates, (3) SIEM console used for manual analysis. Automation gaps are tracked and addressed through tooling investments. Findings are documented with remediation tracking.</t>
  </si>
  <si>
    <t>john &lt;john@almasecurity.com&gt;</t>
  </si>
  <si>
    <t>Manual log review process established. Technologies requiring manual review identified. Review cadence defined based on system criticality.</t>
  </si>
  <si>
    <t>Manual review process mature with documented findings. SIEM console monitoring enhanced. Automation gaps being addressed through tooling investments.</t>
  </si>
  <si>
    <t>SIEM console screenshots</t>
  </si>
  <si>
    <t>DE.AE-08 Ex1</t>
  </si>
  <si>
    <t>DE.AE-08</t>
  </si>
  <si>
    <t>Incidents are declared when adverse events meet the defined incident criteria</t>
  </si>
  <si>
    <t>Ex1: Apply incident criteria to known and assumed characteristics of activity in order to determine whether an incident should be declared</t>
  </si>
  <si>
    <t>Incident declaration follows documented criteria defining thresholds by severity level. The SOC Manager has authority to declare incidents when adverse events meet criteria. The process includes: (1) applying criteria to event characteristics, (2) documenting declaration rationale in tickets, (3) lessons learned feeding continuous improvement.</t>
  </si>
  <si>
    <t>IR-04,IR-08</t>
  </si>
  <si>
    <t>1. Inquiry: CISO, SOC Manager, 2. Inspect incident criteria, 3. Inspect sample of incident tickets</t>
  </si>
  <si>
    <t>Incident criteria documented and approved. Declaration thresholds defined by severity level. SOC Manager authorized to declare incidents.</t>
  </si>
  <si>
    <t>Criteria consistently applied across all incident types. Sample tickets demonstrate proper declaration process. Continuous improvement through lessons learned.</t>
  </si>
  <si>
    <t>SOC-Ticket-1001</t>
  </si>
  <si>
    <t>ID.RA-08 Ex1</t>
  </si>
  <si>
    <t>ID.RA-08</t>
  </si>
  <si>
    <t>Processes for receiving, analyzing, and responding to vulnerability disclosures are established</t>
  </si>
  <si>
    <t>Ex1: Conduct vulnerability information sharing between the organization and its suppliers following the rules and protocols defined in contracts</t>
  </si>
  <si>
    <t>Vulnerability disclosure processes include: (1) disclosure policy with defined response SLAs, (2) external disclosure intake via security@almasecurity.com, (3) supplier vulnerability sharing per contract requirements. Disclosures are analyzed, prioritized, and tracked through remediation. Sample disclosures demonstrate SLA compliance.</t>
  </si>
  <si>
    <t>RA-05</t>
  </si>
  <si>
    <t>1. Inquiry: CISO, 2. Inspect vulnerability disclosure policy, 3. Inspect sample of disclosures</t>
  </si>
  <si>
    <t>Vulnerability disclosure policy documented. External disclosure handling process established. Supplier disclosure requirements included in contracts.</t>
  </si>
  <si>
    <t>Disclosure program mature with defined response SLAs. Supplier vulnerability sharing operational per contract terms. Sample disclosures processed within SLA.</t>
  </si>
  <si>
    <t>PR.AA-02 Ex2</t>
  </si>
  <si>
    <t>PR.AA</t>
  </si>
  <si>
    <t>Identity Management, Authentication, and Access Control (PR.AA)</t>
  </si>
  <si>
    <t>Access to physical and logical assets is limited to authorized users, services, and hardware and  managed commensurate with the assessed risk of unauthorized access</t>
  </si>
  <si>
    <t>PR.AA-02</t>
  </si>
  <si>
    <t>Identities are proofed and bound to credentials based on the context of interactions</t>
  </si>
  <si>
    <t>Ex2: Issue a different credential for each person (i.e., no credential sharing)</t>
  </si>
  <si>
    <t>Identity management enforces credential uniqueness through: (1) no shared accounts policy in Information Security Policy, (2) individual credentials issued via SSO, (3) quarterly privileged access reviews by IAM team. The MFA Rollout project ($80K) supports the Apple Passkey partnership (G8). Shared developer SSH key is identified for Q3 remediation.</t>
  </si>
  <si>
    <t>IA-12</t>
  </si>
  <si>
    <t>1. Inquiry: CISO, IAM Team, 2. Inspect account inventory, 3. Inspect sample of privileged access</t>
  </si>
  <si>
    <t>Individual credentials issued to all personnel. No shared accounts policy enforced. MFA rollout project initiated ($80K) supporting G8 partnership requirements.</t>
  </si>
  <si>
    <t>Credential uniqueness enforced enterprise-wide. Privileged access reviews completed quarterly. Shared developer SSH key identified for remediation in Q3.</t>
  </si>
  <si>
    <t>PR.DS-10 Ex1</t>
  </si>
  <si>
    <t>PR.DS-10</t>
  </si>
  <si>
    <t>The confidentiality, integrity, and availability of data-in-use are protected</t>
  </si>
  <si>
    <t>Ex1: Remove data that must remain confidential (e.g., from processors and memory) as soon as it is no longer needed</t>
  </si>
  <si>
    <t>Data-in-use protection includes: (1) memory handling procedures for sensitive applications, (2) sensitive data retention limits enforced via application controls, (3) source code reviews for crown jewel systems verifying secure data handling. Application owners provide attestations. Biometric data handling receives enhanced scrutiny per SG1.</t>
  </si>
  <si>
    <t>AC-02,AC-03,AC-04,AU-09,AU-13,CA-03,CP-09,SA-08,SC-04,SC-07,SC-11,SC-13,SC-24,SC-32,SC-39,SC-40,SC-43,SI-03,SI-04,SI-07,SI-10,SI-16</t>
  </si>
  <si>
    <t>1. Inquiry: CISO, App Owners, 2. Inspect data handling procedures, 3. Inspect sample of source code</t>
  </si>
  <si>
    <t>Data-in-use protection requirements documented. Memory handling procedures established. Source code review process initiated for sensitive applications.</t>
  </si>
  <si>
    <t>Data handling procedures enforced. Sensitive data retention limits implemented. Application owner attestations collected. Source code reviews completed for crown jewels.</t>
  </si>
  <si>
    <t>DE.AE-02 Ex2</t>
  </si>
  <si>
    <t>Ex2: Utilize up-to-date cyber threat intelligence in log analysis tools to improve detection accuracy and characterize threat actors, their methods, and indicators of compromise</t>
  </si>
  <si>
    <t>DE.AE-02 Ex4</t>
  </si>
  <si>
    <t>Ex4: Use log analysis tools to generate reports on their findings</t>
  </si>
  <si>
    <t>DE.AE-03 Ex1</t>
  </si>
  <si>
    <t>Ex1: Constantly transfer log data generated by other sources to a relatively small number of log servers</t>
  </si>
  <si>
    <t>DE.AE-03 Ex3</t>
  </si>
  <si>
    <t>Ex3: Utilize cyber threat intelligence to help correlate events among log sources</t>
  </si>
  <si>
    <t>DE.AE-04 Ex1</t>
  </si>
  <si>
    <t>DE.AE-04</t>
  </si>
  <si>
    <t>The estimated impact and scope of adverse events are understood</t>
  </si>
  <si>
    <t>Ex1: Use SIEMs or other tools to estimate impact and scope, and review and refine the estimates</t>
  </si>
  <si>
    <t>PM-09,PM-11,PM-18,PM-28,PM-30</t>
  </si>
  <si>
    <t>DE.AE-04 Ex2</t>
  </si>
  <si>
    <t>Ex2: A person creates their own estimates of impact and scope</t>
  </si>
  <si>
    <t>DE.AE-06 Ex2</t>
  </si>
  <si>
    <t>Ex2: Incident responders and other authorized personnel can access log analysis findings at all times</t>
  </si>
  <si>
    <t>DE.AE-06 Ex3</t>
  </si>
  <si>
    <t>Ex3: Automatically create and assign tickets in the organization's ticketing system when certain types of alerts occur</t>
  </si>
  <si>
    <t>DE.AE-06 Ex4</t>
  </si>
  <si>
    <t>Ex4: Manually create and assign tickets in the organization's ticketing system when technical staff discover indicators of compromise</t>
  </si>
  <si>
    <t>DE.AE-07 Ex1</t>
  </si>
  <si>
    <t>DE.AE-07</t>
  </si>
  <si>
    <t>Cyber threat intelligence and other contextual information are integrated into the analysis</t>
  </si>
  <si>
    <t>Ex1: Securely provide cyber threat intelligence feeds to detection technologies, processes, and personnel</t>
  </si>
  <si>
    <t>PM-16,RA-03,RA-10</t>
  </si>
  <si>
    <t>DE.AE-07 Ex2</t>
  </si>
  <si>
    <t>Ex2: Securely provide information from asset inventories to detection technologies, processes, and personnel</t>
  </si>
  <si>
    <t>DE.AE-07 Ex3</t>
  </si>
  <si>
    <t>Ex3: Rapidly acquire and analyze vulnerability disclosures for the organization's technologies from suppliers, vendors, and third-party security advisories</t>
  </si>
  <si>
    <t>DE.AE-08 Ex2</t>
  </si>
  <si>
    <t>Ex2: Take known false positives into account when applying incident criteria</t>
  </si>
  <si>
    <t>DE.CM-01 Ex2</t>
  </si>
  <si>
    <t>Ex2: Monitor wired and wireless networks for connections from unauthorized endpoints</t>
  </si>
  <si>
    <t>DE.CM-01 Ex3</t>
  </si>
  <si>
    <t>Ex3: Monitor facilities for unauthorized or rogue wireless networks</t>
  </si>
  <si>
    <t>DE.CM-01 Ex4</t>
  </si>
  <si>
    <t>Ex4: Compare actual network flows against baselines to detect deviations</t>
  </si>
  <si>
    <t>DE.CM-01 Ex5</t>
  </si>
  <si>
    <t>Ex5: Monitor network communications to identify changes in security postures for zero trust purposes</t>
  </si>
  <si>
    <t>DE.CM-02 Ex1</t>
  </si>
  <si>
    <t>DE.CM-02</t>
  </si>
  <si>
    <t>The physical environment is monitored to find potentially adverse events</t>
  </si>
  <si>
    <t>Ex1: Monitor logs from physical access control systems (e.g., badge readers) to find unusual access patterns (e.g., deviations from the norm) and failed access attempts</t>
  </si>
  <si>
    <t>CA-07,PE-03,PE-06,PE-20</t>
  </si>
  <si>
    <t>DE.CM-02 Ex2</t>
  </si>
  <si>
    <t>Ex2: Review and monitor physical access records (e.g., from visitor registration, sign-in sheets)</t>
  </si>
  <si>
    <t>DE.CM-02 Ex3</t>
  </si>
  <si>
    <t>Ex3: Monitor physical access controls (e.g., locks, latches, hinge pins, alarms) for signs of tampering</t>
  </si>
  <si>
    <t>DE.CM-02 Ex4</t>
  </si>
  <si>
    <t>Ex4: Monitor the physical environment using alarm systems, cameras, and security guards</t>
  </si>
  <si>
    <t>DE.CM-03 Ex1</t>
  </si>
  <si>
    <t>Ex1: Use behavior analytics software to detect anomalous user activity to mitigate insider threats</t>
  </si>
  <si>
    <t>DE.CM-03 Ex3</t>
  </si>
  <si>
    <t>Ex3: Continuously monitor deception technology, including user accounts, for any usage</t>
  </si>
  <si>
    <t>DE.CM-06 Ex1</t>
  </si>
  <si>
    <t>DE.CM-06</t>
  </si>
  <si>
    <t>External service provider activities and services are monitored to find potentially adverse events</t>
  </si>
  <si>
    <t>Ex1: Monitor remote and onsite administration and maintenance activities that external providers perform on organizational systems</t>
  </si>
  <si>
    <t>CA-07,PS-07,SA-04,SA-09,SI-04</t>
  </si>
  <si>
    <t>DE.CM-06 Ex2</t>
  </si>
  <si>
    <t>Ex2: Monitor activity from cloud-based services, internet service providers, and other service providers for deviations from expected behavior</t>
  </si>
  <si>
    <t>DE.CM-09 Ex2</t>
  </si>
  <si>
    <t>Ex2: Monitor authentication attempts to identify attacks against credentials and unauthorized credential reuse</t>
  </si>
  <si>
    <t>DE.CM-09 Ex3</t>
  </si>
  <si>
    <t>Ex3: Monitor software configurations for deviations from security baselines</t>
  </si>
  <si>
    <t>DE.CM-09 Ex4</t>
  </si>
  <si>
    <t>Ex4: Monitor hardware and software for signs of tampering</t>
  </si>
  <si>
    <t>DE.CM-09 Ex5</t>
  </si>
  <si>
    <t>Ex5: Use technologies with a presence on endpoints to detect cyber health issues (e.g., missing patches, malware infections, unauthorized software), and redirect the endpoints to a remediation environment before access is authorized</t>
  </si>
  <si>
    <t>GV.OC-02 Ex2</t>
  </si>
  <si>
    <t>Ex2: Identify relevant external stakeholders and their cybersecurity-related expectations (e.g., privacy expectations of customers, business expectations of partnerships, compliance expectations of regulators, ethics expectations of society)</t>
  </si>
  <si>
    <t>GV.OC-03 Ex1</t>
  </si>
  <si>
    <t>GV.OC-03</t>
  </si>
  <si>
    <t>Legal, regulatory, and contractual requirements regarding cybersecurity - including privacy and civil liberties obligations - are understood and managed</t>
  </si>
  <si>
    <t>Ex1: Determine a process to track and manage legal and regulatory requirements regarding protection of individuals' information (e.g., Health Insurance Portability and Accountability Act, California Consumer Privacy Act, General Data Protection Regulation)</t>
  </si>
  <si>
    <t>AC-01,AT-01,AU-01,CA-01,CM-01,CP-01,IA-01,IR-01,MA-01,MP-01,PE-01,PL-01,PM-01,PM-28,PS-01,PT,PT-01,RA-01,SA-01,SC-01,SI-01,SR-01</t>
  </si>
  <si>
    <t>GV.OC-03 Ex2</t>
  </si>
  <si>
    <t>Ex2: Determine a process to track and manage contractual requirements for cybersecurity management of supplier, customer, and partner information</t>
  </si>
  <si>
    <t>GV.OC-03 Ex3</t>
  </si>
  <si>
    <t>Ex3: Align the organization's cybersecurity strategy with legal, regulatory, and contractual requirements</t>
  </si>
  <si>
    <t>GV.OC-04 Ex1</t>
  </si>
  <si>
    <t>GV.OC-04</t>
  </si>
  <si>
    <t>Critical objectives, capabilities, and services that external stakeholders depend on or expect from the organization are understood and communicated</t>
  </si>
  <si>
    <t>Ex1: Establish criteria for determining the criticality of capabilities and services as viewed by internal and external stakeholders</t>
  </si>
  <si>
    <t>CP-02(08),PM-08,PM-11,PM-30(01),RA-09</t>
  </si>
  <si>
    <t>GV.OC-04 Ex2</t>
  </si>
  <si>
    <t>Ex2: Determine (e.g., from a business impact analysis) assets and business operations that are vital to achieving mission objectives and the potential impact of a loss (or partial loss) of such operations</t>
  </si>
  <si>
    <t>GV.OC-04 Ex3</t>
  </si>
  <si>
    <t>Ex3: Establish and communicate resilience objectives (e.g., recovery time objectives) for delivering critical capabilities and services in various operating states (e.g., under attack, during recovery, normal operation)</t>
  </si>
  <si>
    <t>GV.OC-05 Ex1</t>
  </si>
  <si>
    <t>GV.OC-05</t>
  </si>
  <si>
    <t>Outcomes, capabilities, and services that the organization depends on are understood and communicated</t>
  </si>
  <si>
    <t>Ex1: Create an inventory of the organization's dependencies on external resources (e.g., facilities, cloud-based hosting providers) and their relationships to organizational assets and business functions</t>
  </si>
  <si>
    <t>PM-11,PM-30,RA-07,SA-09,SR-05</t>
  </si>
  <si>
    <t>GV.OC-05 Ex2</t>
  </si>
  <si>
    <t>Ex2: Identify and document external dependencies that are potential points of failure for the organization's critical capabilities and services, and share that information with appropriate personnel</t>
  </si>
  <si>
    <t>GV.OV-01 Ex1</t>
  </si>
  <si>
    <t>Ex1: Measure how well the risk management strategy and risk results have helped leaders make decisions and achieve organizational objectives</t>
  </si>
  <si>
    <t>GV.OV-02 Ex1</t>
  </si>
  <si>
    <t>GV.OV-02</t>
  </si>
  <si>
    <t>The cybersecurity risk management strategy is reviewed and adjusted to ensure coverage of organizational requirements and risks</t>
  </si>
  <si>
    <t>Ex1: Review audit findings to confirm whether the existing cybersecurity strategy has ensured compliance with internal and external requirements</t>
  </si>
  <si>
    <t>PM-09,PM-19,PM-30,PM-31,RA-07,SR-06</t>
  </si>
  <si>
    <t>GV.OV-02 Ex2</t>
  </si>
  <si>
    <t>Ex2: Review the performance oversight of those in cybersecurity-related roles to determine whether policy changes are necessary</t>
  </si>
  <si>
    <t>GV.OV-02 Ex3</t>
  </si>
  <si>
    <t>Ex3: Review strategy in light of cybersecurity incidents</t>
  </si>
  <si>
    <t>GV.OV-03 Ex1</t>
  </si>
  <si>
    <t>GV.OV-03</t>
  </si>
  <si>
    <t>Organizational cybersecurity risk management performance is evaluated and reviewed for adjustments needed</t>
  </si>
  <si>
    <t>Ex1: Review key performance indicators (KPIs) to ensure that organization-wide policies and procedures achieve objectives</t>
  </si>
  <si>
    <t>PM-04,PM-06,RA-07,SR-06</t>
  </si>
  <si>
    <t>GV.OV-03 Ex2</t>
  </si>
  <si>
    <t>Ex2: Review key risk indicators (KRIs) to identify risks the organization faces, including likelihood and potential impact</t>
  </si>
  <si>
    <t>GV.OV-03 Ex3</t>
  </si>
  <si>
    <t>Ex3: Collect and communicate metrics on cybersecurity risk management with senior leadership</t>
  </si>
  <si>
    <t>GV.PO-01 Ex1</t>
  </si>
  <si>
    <t>GV.PO</t>
  </si>
  <si>
    <t>Policy (GV.PO)</t>
  </si>
  <si>
    <t>Organizational cybersecurity policy is established, communicated, and enforced</t>
  </si>
  <si>
    <t>GV.PO-01</t>
  </si>
  <si>
    <t>Policy for managing cybersecurity risks is established based on organizational context, cybersecurity strategy, and priorities and is communicated and enforced</t>
  </si>
  <si>
    <t>Ex1: Create, disseminate, and maintain an understandable, usable risk management policy with statements of management intent, expectations, and direction</t>
  </si>
  <si>
    <t>AC-01,AT-01,AU-01,CA-01,CM-01,CP-01,IA-01,IR-01,MA-01,MP-01,PE-01,PL-01,PM-01,PS-01,PT-01,RA-01,SA-01,SC-01,SI-01,SR-01</t>
  </si>
  <si>
    <t>GV.PO-01 Ex2</t>
  </si>
  <si>
    <t>Ex2: Periodically review policy and supporting processes and procedures to ensure that they align with risk management strategy objectives and priorities, as well as the high-level direction of the cybersecurity policy</t>
  </si>
  <si>
    <t>GV.PO-01 Ex3</t>
  </si>
  <si>
    <t>Ex3: Require approval from senior management on policy</t>
  </si>
  <si>
    <t>GV.PO-01 Ex4</t>
  </si>
  <si>
    <t>Ex4: Communicate cybersecurity risk management policy and supporting processes and procedures across the organization</t>
  </si>
  <si>
    <t>GV.PO-01 Ex5</t>
  </si>
  <si>
    <t>Ex5: Require personnel to acknowledge receipt of policy when first hired, annually, and whenever policy is updated</t>
  </si>
  <si>
    <t>GV.PO-02 Ex1</t>
  </si>
  <si>
    <t>GV.PO-02</t>
  </si>
  <si>
    <t>Policy for managing cybersecurity risks is reviewed, updated, communicated, and enforced to reflect changes in requirements, threats, technology, and organizational mission</t>
  </si>
  <si>
    <t>Ex1: Update policy based on periodic reviews of cybersecurity risk management results to ensure that policy and supporting processes and procedures adequately maintain risk at an acceptable level</t>
  </si>
  <si>
    <t>GV.PO-02 Ex2</t>
  </si>
  <si>
    <t>Ex2: Provide a timeline for reviewing changes to the organization's risk environment (e.g., changes in risk or in the organization's mission objectives), and communicate recommended policy updates</t>
  </si>
  <si>
    <t>GV.PO-02 Ex3</t>
  </si>
  <si>
    <t>Ex3: Update policy to reflect changes in legal and regulatory requirements</t>
  </si>
  <si>
    <t>GV.PO-02 Ex4</t>
  </si>
  <si>
    <t>Ex4: Update policy to reflect changes in technology (e.g., adoption of artificial intelligence) and changes to the business (e.g., acquisition of a new business, new contract requirements)</t>
  </si>
  <si>
    <t>GV.RM-01 Ex1</t>
  </si>
  <si>
    <t>Ex1: Update near-term and long-term cybersecurity risk management objectives as part of annual strategic planning and when major changes occur</t>
  </si>
  <si>
    <t>GV.RM-01 Ex3</t>
  </si>
  <si>
    <t>Ex3: Senior leaders agree about cybersecurity objectives and use them for measuring and managing risk and performance</t>
  </si>
  <si>
    <t>GV.RM-02 Ex1</t>
  </si>
  <si>
    <t>GV.RM-02</t>
  </si>
  <si>
    <t>Risk appetite and risk tolerance statements are established, communicated, and maintained</t>
  </si>
  <si>
    <t>Ex1: Determine and communicate risk appetite statements that convey expectations about the appropriate level of risk for the organization</t>
  </si>
  <si>
    <t>PM-09</t>
  </si>
  <si>
    <t>GV.RM-02 Ex2</t>
  </si>
  <si>
    <t>Ex2: Translate risk appetite statements into specific, measurable, and broadly understandable risk tolerance statements</t>
  </si>
  <si>
    <t>GV.RM-02 Ex3</t>
  </si>
  <si>
    <t>Ex3: Refine organizational objectives and risk appetite periodically based on known risk exposure and residual risk</t>
  </si>
  <si>
    <t>GV.RM-03 Ex1</t>
  </si>
  <si>
    <t>GV.RM-03</t>
  </si>
  <si>
    <t>Cybersecurity risk management activities and outcomes are included in enterprise risk management processes</t>
  </si>
  <si>
    <t>Ex1: Aggregate and manage cybersecurity risks alongside other enterprise risks (e.g., compliance, financial, operational, regulatory, reputational, safety)</t>
  </si>
  <si>
    <t>PM-03,PM-09,PM-30,RA-07,SR-02</t>
  </si>
  <si>
    <t>GV.RM-03 Ex2</t>
  </si>
  <si>
    <t>Ex2: Include cybersecurity risk managers in enterprise risk management planning</t>
  </si>
  <si>
    <t>GV.RM-03 Ex3</t>
  </si>
  <si>
    <t>Ex3: Establish criteria for escalating cybersecurity risks within enterprise risk management</t>
  </si>
  <si>
    <t>GV.RM-04 Ex1</t>
  </si>
  <si>
    <t>GV.RM-04</t>
  </si>
  <si>
    <t>Strategic direction that describes appropriate risk response options is established and communicated</t>
  </si>
  <si>
    <t>Ex1: Specify criteria for accepting and avoiding cybersecurity risk for various classifications of data</t>
  </si>
  <si>
    <t>PM-09,PM-28,PM-30,SR-02</t>
  </si>
  <si>
    <t>GV.RM-04 Ex2</t>
  </si>
  <si>
    <t>Ex2: Determine whether to purchase cybersecurity insurance</t>
  </si>
  <si>
    <t>GV.RM-04 Ex3</t>
  </si>
  <si>
    <t>Ex3: Document conditions under which shared responsibility models are acceptable (e.g., outsourcing certain cybersecurity functions, having a third party perform financial transactions on behalf of the organization, using public cloud-based services)</t>
  </si>
  <si>
    <t>GV.RM-05 Ex1</t>
  </si>
  <si>
    <t>GV.RM-05</t>
  </si>
  <si>
    <t>Lines of communication across the organization are established for cybersecurity risks, including risks from suppliers and other third parties</t>
  </si>
  <si>
    <t>Ex1: Determine how to update senior executives, directors, and management on the organization's cybersecurity posture at agreed-upon intervals</t>
  </si>
  <si>
    <t>PM-09,PM-30</t>
  </si>
  <si>
    <t>GV.RM-05 Ex2</t>
  </si>
  <si>
    <t>Ex2: Identify how all departments across the organization - such as management, operations, internal auditors, legal, acquisition, physical security, and HR - will communicate with each other about cybersecurity risks</t>
  </si>
  <si>
    <t>GV.RM-06 Ex1</t>
  </si>
  <si>
    <t>GV.RM-06</t>
  </si>
  <si>
    <t>A standardized method for calculating, documenting, categorizing, and prioritizing cybersecurity risks is established and communicated</t>
  </si>
  <si>
    <t>Ex1: Establish criteria for using a quantitative approach to cybersecurity risk analysis, and specify probability and exposure formulas</t>
  </si>
  <si>
    <t>PM-09,PM-18,PM-28,PM-30,RA-03</t>
  </si>
  <si>
    <t>GV.RM-06 Ex2</t>
  </si>
  <si>
    <t>Ex2: Create and use templates (e.g., a risk register) to document cybersecurity risk information (e.g., risk description, exposure, treatment, and ownership)</t>
  </si>
  <si>
    <t>GV.RM-06 Ex3</t>
  </si>
  <si>
    <t>Ex3: Establish criteria for risk prioritization at the appropriate levels within the enterprise</t>
  </si>
  <si>
    <t>GV.RM-06 Ex4</t>
  </si>
  <si>
    <t>Ex4: Use a consistent list of risk categories to support integrating, aggregating, and comparing cybersecurity risks</t>
  </si>
  <si>
    <t>GV.RM-07 Ex1</t>
  </si>
  <si>
    <t>GV.RM-07</t>
  </si>
  <si>
    <t>Strategic opportunities (i.e., positive risks) are characterized and are included in organizational cybersecurity risk discussions</t>
  </si>
  <si>
    <t>Ex1: Define and communicate guidance and methods for identifying opportunities and including them in risk discussions (e.g., strengths, weaknesses, opportunities, and threats [SWOT] analysis)</t>
  </si>
  <si>
    <t>GV.RM-07 Ex2</t>
  </si>
  <si>
    <t>Ex2: Identify stretch goals and document them</t>
  </si>
  <si>
    <t>GV.RM-07 Ex3</t>
  </si>
  <si>
    <t>Ex3: Calculate, document, and prioritize positive risks alongside negative risks</t>
  </si>
  <si>
    <t>GV.RR-01 Ex1</t>
  </si>
  <si>
    <t>Ex1: Leaders (e.g., directors) agree on their roles and responsibilities in developing, implementing, and assessing the organization's cybersecurity strategy</t>
  </si>
  <si>
    <t>GV.RR-01 Ex2</t>
  </si>
  <si>
    <t>Ex2: Share leaders' expectations regarding a secure and ethical culture, especially when current events present the opportunity to highlight positive or negative examples of cybersecurity risk management</t>
  </si>
  <si>
    <t>GV.RR-01 Ex3</t>
  </si>
  <si>
    <t>Ex3: Leaders direct the CISO to maintain a comprehensive cybersecurity risk strategy and review and update it at least annually and after major events</t>
  </si>
  <si>
    <t>GV.RR-02 Ex2</t>
  </si>
  <si>
    <t>Ex2: Document who is responsible and accountable for cybersecurity risk management activities and how those teams and individuals are to be consulted and informed</t>
  </si>
  <si>
    <t>GV.RR-02 Ex3</t>
  </si>
  <si>
    <t>Ex3: Include cybersecurity responsibilities and performance requirements in personnel descriptions</t>
  </si>
  <si>
    <t>GV.RR-02 Ex4</t>
  </si>
  <si>
    <t>Ex4: Document performance goals for personnel with cybersecurity risk management responsibilities, and periodically measure performance to identify areas for improvement</t>
  </si>
  <si>
    <t>GV.RR-02 Ex5</t>
  </si>
  <si>
    <t>Ex5: Clearly articulate cybersecurity responsibilities within operations, risk functions, and internal audit functions</t>
  </si>
  <si>
    <t>GV.RR-03 Ex1</t>
  </si>
  <si>
    <t>GV.RR-03</t>
  </si>
  <si>
    <t>Adequate resources are allocated commensurate with the cybersecurity risk strategy, roles, responsibilities, and policies</t>
  </si>
  <si>
    <t>Ex1: Conduct periodic management reviews to ensure that those given cybersecurity risk management responsibilities have the necessary authority</t>
  </si>
  <si>
    <t>PM-03</t>
  </si>
  <si>
    <t>GV.RR-03 Ex2</t>
  </si>
  <si>
    <t>Ex2: Identify resource allocation and investment in line with risk tolerance and response</t>
  </si>
  <si>
    <t>GV.RR-03 Ex3</t>
  </si>
  <si>
    <t>Ex3: Provide adequate and sufficient people, process, and technical resources to support the cybersecurity strategy</t>
  </si>
  <si>
    <t>GV.RR-04 Ex1</t>
  </si>
  <si>
    <t>GV.RR-04</t>
  </si>
  <si>
    <t>Cybersecurity is included in human resources practices</t>
  </si>
  <si>
    <t>Ex1: Integrate cybersecurity risk management considerations into human resources processes (e.g., personnel screening, onboarding, change notification, offboarding)</t>
  </si>
  <si>
    <t>PM-13,PS-01,PS-07,PS-09</t>
  </si>
  <si>
    <t>GV.RR-04 Ex2</t>
  </si>
  <si>
    <t>Ex2: Consider cybersecurity knowledge to be a positive factor in hiring, training, and retention decisions</t>
  </si>
  <si>
    <t>GV.RR-04 Ex3</t>
  </si>
  <si>
    <t>Ex3: Conduct background checks prior to onboarding new personnel for sensitive roles, and periodically repeat background checks for personnel with such roles</t>
  </si>
  <si>
    <t>GV.RR-04 Ex4</t>
  </si>
  <si>
    <t>Ex4: Define and enforce obligations for personnel to be aware of, adhere to, and uphold security policies as they relate to their roles</t>
  </si>
  <si>
    <t>GV.SC-01 Ex1</t>
  </si>
  <si>
    <t>Ex1: Establish a strategy that expresses the objectives of the cybersecurity supply chain risk management program</t>
  </si>
  <si>
    <t>GV.SC-01 Ex2</t>
  </si>
  <si>
    <t>Ex2: Develop the cybersecurity supply chain risk management program, including a plan (with milestones), policies, and procedures that guide implementation and improvement of the program, and share the policies and procedures with the organizational stakeholders</t>
  </si>
  <si>
    <t>GV.SC-01 Ex4</t>
  </si>
  <si>
    <t>Ex4: Establish a cross-organizational mechanism that ensures alignment between functions that contribute to cybersecurity supply chain risk management, such as cybersecurity, IT, operations, legal, human resources, and engineering</t>
  </si>
  <si>
    <t>GV.SC-02 Ex1</t>
  </si>
  <si>
    <t>Ex1: Identify one or more specific roles or positions that will be responsible and accountable for planning, resourcing, and executing cybersecurity supply chain risk management activities</t>
  </si>
  <si>
    <t>GV.SC-02 Ex2</t>
  </si>
  <si>
    <t>Ex2: Document cybersecurity supply chain risk management roles and responsibilities in policy</t>
  </si>
  <si>
    <t>GV.SC-02 Ex3</t>
  </si>
  <si>
    <t>Ex3: Create responsibility matrixes to document who will be responsible and accountable for cybersecurity supply chain risk management activities and how those teams and individuals will be consulted and informed</t>
  </si>
  <si>
    <t>GV.SC-02 Ex4</t>
  </si>
  <si>
    <t>Ex4: Include cybersecurity supply chain risk management responsibilities and performance requirements in personnel descriptions to ensure clarity and improve accountability</t>
  </si>
  <si>
    <t>GV.SC-02 Ex5</t>
  </si>
  <si>
    <t>Ex5: Document performance goals for personnel with cybersecurity risk management-specific responsibilities, and periodically measure them to demonstrate and improve performance</t>
  </si>
  <si>
    <t>GV.SC-02 Ex6</t>
  </si>
  <si>
    <t>Ex6: Develop roles and responsibilities for suppliers, customers, and business partners to address shared responsibilities for applicable cybersecurity risks, and integrate them into organizational policies and applicable third-party agreements</t>
  </si>
  <si>
    <t>GV.SC-02 Ex8</t>
  </si>
  <si>
    <t>Ex8: Establish rules and protocols for information sharing and reporting processes between the organization and its suppliers</t>
  </si>
  <si>
    <t>GV.SC-03 Ex1</t>
  </si>
  <si>
    <t>GV.SC-03</t>
  </si>
  <si>
    <t>Cybersecurity supply chain risk management is integrated into cybersecurity and enterprise risk management, risk assessment, and improvement processes</t>
  </si>
  <si>
    <t>Ex1: Identify areas of alignment and overlap with cybersecurity and enterprise risk management</t>
  </si>
  <si>
    <t>AC-01,AT-01,AU-01,CA-01,CM-01,CP-01,IA-01,IR-01,MA-01,MP-01,PE-01,PL-01,PM-01,PM-09,PM-18,PM-30,PM-31,PS-01,PT-01,RA-01,RA-03,RA-07,SA-01,SC-01,SI-01,SR-01,SR-02,SR-03</t>
  </si>
  <si>
    <t>GV.SC-03 Ex2</t>
  </si>
  <si>
    <t>Ex2: Establish integrated control sets for cybersecurity risk management and cybersecurity supply chain risk management</t>
  </si>
  <si>
    <t>GV.SC-03 Ex3</t>
  </si>
  <si>
    <t>Ex3: Integrate cybersecurity supply chain risk management into improvement processes</t>
  </si>
  <si>
    <t>GV.SC-03 Ex4</t>
  </si>
  <si>
    <t>Ex4: Escalate material cybersecurity risks in supply chains to senior management, and address them at the enterprise risk management level</t>
  </si>
  <si>
    <t>GV.SC-04 Ex2</t>
  </si>
  <si>
    <t>Ex2: Keep a record of all suppliers, and prioritize suppliers based on the criticality criteria</t>
  </si>
  <si>
    <t>GV.SC-05 Ex1</t>
  </si>
  <si>
    <t>GV.SC-05</t>
  </si>
  <si>
    <t>Requirements to address cybersecurity risks in supply chains are established, prioritized, and integrated into contracts and other types of agreements with suppliers and other relevant third parties</t>
  </si>
  <si>
    <t>Ex10: Specify in contracts and other agreements the rights and responsibilities of the organization, its suppliers, and their supply chains, with respect to potential cybersecurity risks</t>
  </si>
  <si>
    <t>SA-04,SA-09,SR-03,SR-05,SR-06,SR-10</t>
  </si>
  <si>
    <t>GV.SC-05 Ex2</t>
  </si>
  <si>
    <t>Ex2: Include all cybersecurity and supply chain requirements that third parties must follow and how compliance with the requirements may be verified in default contractual language</t>
  </si>
  <si>
    <t>GV.SC-05 Ex3</t>
  </si>
  <si>
    <t>Ex3: Define the rules and protocols for information sharing between the organization and its suppliers and sub-tier suppliers in agreements</t>
  </si>
  <si>
    <t>GV.SC-05 Ex4</t>
  </si>
  <si>
    <t>Ex4: Manage risk by including security requirements in agreements based on their criticality and potential impact if compromised</t>
  </si>
  <si>
    <t>GV.SC-05 Ex5</t>
  </si>
  <si>
    <t>Ex5: Define security requirements in service-level agreements (SLAs) for monitoring suppliers for acceptable security performance throughout the supplier relationship lifecycle</t>
  </si>
  <si>
    <t>GV.SC-05 Ex6</t>
  </si>
  <si>
    <t>Ex6: Contractually require suppliers to disclose cybersecurity features, functions, and vulnerabilities of their products and services for the life of the product or the term of service</t>
  </si>
  <si>
    <t>GV.SC-05 Ex7</t>
  </si>
  <si>
    <t>Ex7: Contractually require suppliers to provide and maintain a current component inventory (e.g., software or hardware bill of materials) for critical products</t>
  </si>
  <si>
    <t>GV.SC-05 Ex8</t>
  </si>
  <si>
    <t>Ex8: Contractually require suppliers to vet their employees and guard against insider threats</t>
  </si>
  <si>
    <t>GV.SC-05 Ex9</t>
  </si>
  <si>
    <t>Ex9: Contractually require suppliers to provide evidence of performing acceptable security practices through, for example, self-attestation, conformance to known standards, certifications, or inspections</t>
  </si>
  <si>
    <t>GV.SC-06 Ex1</t>
  </si>
  <si>
    <t>Ex1: Perform thorough due diligence on prospective suppliers that is consistent with procurement planning and commensurate with the level of risk, criticality, and complexity of each supplier relationship</t>
  </si>
  <si>
    <t>GV.SC-06 Ex2</t>
  </si>
  <si>
    <t>Ex2: Assess the suitability of the technology and cybersecurity capabilities and the risk management practices of prospective suppliers</t>
  </si>
  <si>
    <t>GV.SC-06 Ex4</t>
  </si>
  <si>
    <t>Ex4: Assess the authenticity, integrity, and security of critical products prior to acquisition and use</t>
  </si>
  <si>
    <t>GV.SC-07 Ex1</t>
  </si>
  <si>
    <t>GV.SC-07</t>
  </si>
  <si>
    <t>The risks posed by a supplier, their products and services, and other third parties are understood, recorded, prioritized, assessed, responded to, and monitored over the course of the relationship</t>
  </si>
  <si>
    <t>Ex1: Adjust assessment formats and frequencies based on the third party's reputation and the criticality of the products or services they provide</t>
  </si>
  <si>
    <t>RA-09,SA-04,SA-09,SR-03,SR-06</t>
  </si>
  <si>
    <t>GV.SC-07 Ex2</t>
  </si>
  <si>
    <t>Ex2: Evaluate third parties' evidence of compliance with contractual cybersecurity requirements, such as self-attestations, warranties, certifications, and other artifacts</t>
  </si>
  <si>
    <t>GV.SC-07 Ex3</t>
  </si>
  <si>
    <t>Ex3: Monitor critical suppliers to ensure that they are fulfilling their security obligations throughout the supplier relationship lifecycle using a variety of methods and techniques, such as inspections, audits, tests, or other forms of evaluation</t>
  </si>
  <si>
    <t>GV.SC-07 Ex4</t>
  </si>
  <si>
    <t>Ex4: Monitor critical suppliers, services, and products for changes to their risk profiles, and reevaluate supplier criticality and risk impact accordingly</t>
  </si>
  <si>
    <t>GV.SC-07 Ex5</t>
  </si>
  <si>
    <t>Ex5: Plan for unexpected supplier and supply chain-related interruptions to ensure business continuity</t>
  </si>
  <si>
    <t>GV.SC-08 Ex1</t>
  </si>
  <si>
    <t>GV.SC-08</t>
  </si>
  <si>
    <t>Relevant suppliers and other third parties are included in incident planning, response, and recovery activities</t>
  </si>
  <si>
    <t>Ex1: Define and use rules and protocols for reporting incident response and recovery activities and the status between the organization and its suppliers</t>
  </si>
  <si>
    <t>CP-01,IR-01,SA-04,SA-09,SR-02,SR-03,SR-08</t>
  </si>
  <si>
    <t>GV.SC-08 Ex2</t>
  </si>
  <si>
    <t>Ex2: Identify and document the roles and responsibilities of the organization and its suppliers for incident response</t>
  </si>
  <si>
    <t>GV.SC-08 Ex3</t>
  </si>
  <si>
    <t>Ex3: Include critical suppliers in incident response exercises and simulations</t>
  </si>
  <si>
    <t>GV.SC-08 Ex4</t>
  </si>
  <si>
    <t>Ex4: Define and coordinate crisis communication methods and protocols between the organization and its critical suppliers</t>
  </si>
  <si>
    <t>GV.SC-08 Ex5</t>
  </si>
  <si>
    <t>Ex5: Conduct collaborative lessons learned sessions with critical suppliers</t>
  </si>
  <si>
    <t>GV.SC-09 Ex1</t>
  </si>
  <si>
    <t>Ex1: Policies and procedures require provenance records for all acquired technology products and services</t>
  </si>
  <si>
    <t>GV.SC-09 Ex2</t>
  </si>
  <si>
    <t>Ex2: Periodically provide risk reporting to leaders about how acquired components are proven to be untampered and authentic</t>
  </si>
  <si>
    <t>GV.SC-09 Ex3</t>
  </si>
  <si>
    <t>Ex3: Communicate regularly among cybersecurity risk managers and operations personnel about the need to acquire software patches, updates, and upgrades only from authenticated and trustworthy software providers</t>
  </si>
  <si>
    <t>GV.SC-09 Ex4</t>
  </si>
  <si>
    <t>Ex4: Review policies to ensure that they require approved supplier personnel to perform maintenance on supplier products</t>
  </si>
  <si>
    <t>GV.SC-10 Ex1</t>
  </si>
  <si>
    <t>Ex1: Establish processes for terminating critical relationships under both normal and adverse circumstances</t>
  </si>
  <si>
    <t>GV.SC-10 Ex2</t>
  </si>
  <si>
    <t>Ex2: Define and implement plans for component end-of-life maintenance support and obsolescence</t>
  </si>
  <si>
    <t>GV.SC-10 Ex4</t>
  </si>
  <si>
    <t>Ex4: Verify that assets containing the organization's data are returned or properly disposed of in a timely, controlled, and safe manner</t>
  </si>
  <si>
    <t>GV.SC-10 Ex5</t>
  </si>
  <si>
    <t>Ex5: Develop and execute a plan for terminating or transitioning supplier relationships that takes supply chain security risk and resiliency into account</t>
  </si>
  <si>
    <t>GV.SC-10 Ex6</t>
  </si>
  <si>
    <t>Ex6: Mitigate risks to data and systems created by supplier termination</t>
  </si>
  <si>
    <t>GV.SC-10 Ex7</t>
  </si>
  <si>
    <t>Ex7: Manage data leakage risks associated with supplier termination</t>
  </si>
  <si>
    <t>ID.AM-01 Ex1</t>
  </si>
  <si>
    <t>ID.AM-01</t>
  </si>
  <si>
    <t>Inventories of hardware managed by the organization are maintained</t>
  </si>
  <si>
    <t>Ex1: Maintain inventories for all types of hardware, including IT, IoT, OT, and mobile devices</t>
  </si>
  <si>
    <t>CM-08,PM-05</t>
  </si>
  <si>
    <t>ID.AM-01 Ex2</t>
  </si>
  <si>
    <t>Ex2: Constantly monitor networks to detect new hardware and automatically update inventories</t>
  </si>
  <si>
    <t>ID.AM-02 Ex1</t>
  </si>
  <si>
    <t>Ex1: Maintain inventories for all types of software and services, including commercial-off-the-shelf, open-source, custom applications, API services, and cloud-based applications and services</t>
  </si>
  <si>
    <t>ID.AM-02 Ex3</t>
  </si>
  <si>
    <t>Ex3: Maintain an inventory of the organization's systems</t>
  </si>
  <si>
    <t>ID.AM-03 Ex1</t>
  </si>
  <si>
    <t>ID.AM-03</t>
  </si>
  <si>
    <t>Representations of the organization's authorized network communication and internal and external network data flows are maintained</t>
  </si>
  <si>
    <t>Ex1: Maintain baselines of communication and data flows within the organization's wired and wireless networks</t>
  </si>
  <si>
    <t>AC-04,CA-03,CA-09,PL-02,PL-08,PM-07</t>
  </si>
  <si>
    <t>ID.AM-03 Ex2</t>
  </si>
  <si>
    <t>Ex2: Maintain baselines of communication and data flows between the organization and third parties</t>
  </si>
  <si>
    <t>ID.AM-03 Ex3</t>
  </si>
  <si>
    <t>Ex3: Maintain baselines of communication and data flows for the organization's infrastructure-as-a-service (IaaS) usage</t>
  </si>
  <si>
    <t>ID.AM-03 Ex4</t>
  </si>
  <si>
    <t>Ex4: Maintain documentation of expected network ports, protocols, and services that are typically used among authorized systems</t>
  </si>
  <si>
    <t>ID.AM-04 Ex1</t>
  </si>
  <si>
    <t>ID.AM-04</t>
  </si>
  <si>
    <t>Inventories of services provided by suppliers are maintained</t>
  </si>
  <si>
    <t>Ex1: Inventory all external services used by the organization, including third-party infrastructure-as-a-service (IaaS), platform-as-a-service (PaaS), and software-as-a-service (SaaS) offerings; APIs; and other externally hosted application services</t>
  </si>
  <si>
    <t>AC-20,SA-09,SR-02</t>
  </si>
  <si>
    <t>ID.AM-04 Ex2</t>
  </si>
  <si>
    <t>Ex2: Update the inventory when a new external service is going to be utilized to ensure adequate cybersecurity risk management monitoring of the organization's use of that service</t>
  </si>
  <si>
    <t>ID.AM-05 Ex1</t>
  </si>
  <si>
    <t>ID.AM-05</t>
  </si>
  <si>
    <t>Assets are prioritized based on classification, criticality, resources, and impact on the mission</t>
  </si>
  <si>
    <t>Ex1: Define criteria for prioritizing each class of assets</t>
  </si>
  <si>
    <t>RA-02,RA-03,RA-09</t>
  </si>
  <si>
    <t>ID.AM-05 Ex2</t>
  </si>
  <si>
    <t>Ex2: Apply the prioritization criteria to assets</t>
  </si>
  <si>
    <t>ID.AM-05 Ex3</t>
  </si>
  <si>
    <t>Ex3: Track the asset priorities and update them periodically or when significant changes to the organization occur</t>
  </si>
  <si>
    <t>ID.AM-07 Ex1</t>
  </si>
  <si>
    <t>Ex1: Maintain a list of the designated data types of interest (e.g., personally identifiable information, protected health information, financial account numbers, organization intellectual property, operational technology data)</t>
  </si>
  <si>
    <t>ID.AM-07 Ex2</t>
  </si>
  <si>
    <t>Ex2: Continuously discover and analyze ad hoc data to identify new instances of designated data types</t>
  </si>
  <si>
    <t>ID.AM-07 Ex4</t>
  </si>
  <si>
    <t>Ex4: Track the provenance, data owner, and geolocation of each instance of designated data types</t>
  </si>
  <si>
    <t>ID.AM-08 Ex1</t>
  </si>
  <si>
    <t>ID.AM-08</t>
  </si>
  <si>
    <t>Systems, hardware, software, services, and data are managed throughout their life cycles</t>
  </si>
  <si>
    <t>Ex1: Integrate cybersecurity considerations throughout the life cycles of systems, hardware, software, and services</t>
  </si>
  <si>
    <t>CM-09,CM-13,MA-02,MA-06,PL-02,PM-22,PM-23,SA-03,SA-04,SA-08,SA-22,SI-12,SI-18,SR-05,SR-12</t>
  </si>
  <si>
    <t>ID.AM-08 Ex2</t>
  </si>
  <si>
    <t>Ex2: Integrate cybersecurity considerations into product life cycles</t>
  </si>
  <si>
    <t>ID.AM-08 Ex3</t>
  </si>
  <si>
    <t>Ex3: Identify unofficial uses of technology to meet mission objectives (i.e., shadow IT)</t>
  </si>
  <si>
    <t>ID.AM-08 Ex4</t>
  </si>
  <si>
    <t>Ex4: Periodically identify redundant systems, hardware, software, and services that unnecessarily increase the organization's attack surface</t>
  </si>
  <si>
    <t>ID.AM-08 Ex5</t>
  </si>
  <si>
    <t>Ex5: Properly configure and secure systems, hardware, software, and services prior to their deployment in production</t>
  </si>
  <si>
    <t>ID.AM-08 Ex6</t>
  </si>
  <si>
    <t>Ex6: Update inventories when systems, hardware, software, and services are moved or transferred within the organization</t>
  </si>
  <si>
    <t>ID.AM-08 Ex7</t>
  </si>
  <si>
    <t>Ex7: Securely destroy stored data based on the organization's data retention policy using the prescribed destruction method, and keep and manage a record of the destructions</t>
  </si>
  <si>
    <t>ID.AM-08 Ex8</t>
  </si>
  <si>
    <t>Ex8: Securely sanitize data storage when hardware is being retired, decommissioned, reassigned, or sent for repairs or replacement</t>
  </si>
  <si>
    <t>ID.AM-08 Ex9</t>
  </si>
  <si>
    <t>Ex9: Offer methods for destroying paper, storage media, and other physical forms of data storage</t>
  </si>
  <si>
    <t>ID.IM-01 Ex2</t>
  </si>
  <si>
    <t>Ex2: Invest in third-party assessments or independent audits of the effectiveness of the organization's cybersecurity program to identify areas that need improvement</t>
  </si>
  <si>
    <t>ID.IM-01 Ex3</t>
  </si>
  <si>
    <t>Ex3: Constantly evaluate compliance with selected cybersecurity requirements through automated means</t>
  </si>
  <si>
    <t>ID.IM-02 Ex1</t>
  </si>
  <si>
    <t>ID.IM-02</t>
  </si>
  <si>
    <t>Improvements are identified from security tests and exercises, including those done in coordination with suppliers and relevant third parties</t>
  </si>
  <si>
    <t>Ex1: Identify improvements for future incident response activities based on findings from incident response assessments (e.g., tabletop exercises and simulations, tests, internal reviews, independent audits)</t>
  </si>
  <si>
    <t>AC-01,AT-01,AU-01,CA-01,CA-02,CA-05,CA-07,CA-08,CM-01,CP-01,CP-02,CP-04,IA-01,IR-01,IR-03,IR-04,IR-08,MA-01,MP-01,PE-01,PL-01,PL-02,PM-01,PM-04,PM-31,PS-01,PT-01,RA-01,RA-03,RA-05,RA-07,SA-01,SA-08,SA-11,SC-01,SI-01,SI-02,SI-04,SR-01,SR-05</t>
  </si>
  <si>
    <t>ID.IM-02 Ex2</t>
  </si>
  <si>
    <t>Ex2: Identify improvements for future business continuity, disaster recovery, and incident response activities based on exercises performed in coordination with critical service providers and product suppliers</t>
  </si>
  <si>
    <t>ID.IM-02 Ex3</t>
  </si>
  <si>
    <t>Ex3: Involve internal stakeholders (e.g., senior executives, legal department, HR) in security tests and exercises as appropriate</t>
  </si>
  <si>
    <t>ID.IM-02 Ex4</t>
  </si>
  <si>
    <t>Ex4: Perform penetration testing to identify opportunities to improve the security posture of selected high-risk systems as approved by leadership</t>
  </si>
  <si>
    <t>ID.IM-02 Ex5</t>
  </si>
  <si>
    <t>Ex5: Exercise contingency plans for responding to and recovering from the discovery that products or services did not originate with the contracted supplier or partner or were altered before receipt</t>
  </si>
  <si>
    <t>ID.IM-02 Ex6</t>
  </si>
  <si>
    <t>Ex6: Collect and analyze performance metrics using security tools and services to inform improvements to the cybersecurity program</t>
  </si>
  <si>
    <t>ID.IM-03 Ex1</t>
  </si>
  <si>
    <t>ID.IM-03</t>
  </si>
  <si>
    <t>Improvements are identified from execution of operational processes, procedures, and activities</t>
  </si>
  <si>
    <t>Ex1: Conduct collaborative lessons learned sessions with suppliers</t>
  </si>
  <si>
    <t>AC-01,AT-01,AU-01,CA-01,CA-02,CA-05,CA-07,CA-08,CM-01,CP-01,CP-02,IA-01,IR-01,IR-04,IR-08,MA-01,MP-01,PE-01,PL-01,PL-02,PM-01,PM-04,PM-31,PS-01,PT-01,RA-01,RA-03,RA-05,RA-07,SA-01,SA-04,SA-08,SA-11,SC-01,SI-01,SI-02,SI-04,SR-01,SR-05</t>
  </si>
  <si>
    <t>ID.IM-03 Ex2</t>
  </si>
  <si>
    <t>Ex2: Annually review cybersecurity policies, processes, and procedures to take lessons learned into account</t>
  </si>
  <si>
    <t>ID.IM-03 Ex3</t>
  </si>
  <si>
    <t>Ex3: Use metrics to assess operational cybersecurity performance over time</t>
  </si>
  <si>
    <t>ID.IM-04 Ex1</t>
  </si>
  <si>
    <t>ID.IM-04</t>
  </si>
  <si>
    <t>Incident response plans and other cybersecurity plans that affect operations are established, communicated, maintained, and improved</t>
  </si>
  <si>
    <t>Ex1: Establish contingency plans (e.g., incident response, business continuity, disaster recovery) for responding to and recovering from adverse events that can interfere with operations, expose confidential information, or otherwise endanger the organization's mission and viability</t>
  </si>
  <si>
    <t>CP-02,IR-08,PL-02,SR-02</t>
  </si>
  <si>
    <t>ID.IM-04 Ex2</t>
  </si>
  <si>
    <t>Ex2: Include contact and communication information, processes for handling common scenarios, and criteria for prioritization, escalation, and elevation in all contingency plans</t>
  </si>
  <si>
    <t>ID.IM-04 Ex3</t>
  </si>
  <si>
    <t>Ex3: Create a vulnerability management plan to identify and assess all types of vulnerabilities and to prioritize, test, and implement risk responses</t>
  </si>
  <si>
    <t>ID.IM-04 Ex4</t>
  </si>
  <si>
    <t>Ex4: Communicate cybersecurity plans (including updates) to those responsible for carrying them out and to affected parties</t>
  </si>
  <si>
    <t>ID.IM-04 Ex5</t>
  </si>
  <si>
    <t>Ex5: Review and update all cybersecurity plans annually or when a need for significant improvements is identified</t>
  </si>
  <si>
    <t>ID.RA-01 Ex2</t>
  </si>
  <si>
    <t>Ex2: Assess network and system architectures for design and implementation weaknesses that affect cybersecurity</t>
  </si>
  <si>
    <t>ID.RA-01 Ex3</t>
  </si>
  <si>
    <t>Ex3: Review, analyze, or test organization-developed software to identify design, coding, and default configuration vulnerabilities</t>
  </si>
  <si>
    <t>ID.RA-01 Ex4</t>
  </si>
  <si>
    <t>Ex4: Assess facilities that house critical computing assets for physical vulnerabilities and resilience issues</t>
  </si>
  <si>
    <t>ID.RA-01 Ex5</t>
  </si>
  <si>
    <t>Ex5: Monitor sources of cyber threat intelligence for information on new vulnerabilities in products and services</t>
  </si>
  <si>
    <t>ID.RA-01 Ex6</t>
  </si>
  <si>
    <t>Ex6: Review processes and procedures for weaknesses that could be exploited to affect cybersecurity</t>
  </si>
  <si>
    <t>ID.RA-02 Ex1</t>
  </si>
  <si>
    <t>ID.RA-02</t>
  </si>
  <si>
    <t>Cyber threat intelligence is received from information sharing forums and sources</t>
  </si>
  <si>
    <t>Ex1: Configure cybersecurity tools and technologies with detection or response capabilities to securely ingest cyber threat intelligence feeds</t>
  </si>
  <si>
    <t>PM-15,PM-16,SI-05</t>
  </si>
  <si>
    <t>ID.RA-02 Ex2</t>
  </si>
  <si>
    <t>Ex2: Receive and review advisories from reputable third parties on current threat actors and their tactics, techniques, and procedures (TTPs)</t>
  </si>
  <si>
    <t>ID.RA-02 Ex3</t>
  </si>
  <si>
    <t>Ex3: Monitor sources of cyber threat intelligence for information on the types of vulnerabilities that emerging technologies may have</t>
  </si>
  <si>
    <t>ID.RA-03 Ex1</t>
  </si>
  <si>
    <t>ID.RA-03</t>
  </si>
  <si>
    <t>Internal and external threats to the organization are identified and recorded</t>
  </si>
  <si>
    <t>Ex1: Use cyber threat intelligence to maintain awareness of the types of threat actors likely to target the organization and the TTPs they are likely to use</t>
  </si>
  <si>
    <t>PM-12,PM-16,RA-03,SI-05</t>
  </si>
  <si>
    <t>ID.RA-03 Ex2</t>
  </si>
  <si>
    <t>Ex2: Perform threat hunting to look for signs of threat actors within the environment</t>
  </si>
  <si>
    <t>ID.RA-03 Ex3</t>
  </si>
  <si>
    <t>Ex3: Implement processes for identifying internal threat actors</t>
  </si>
  <si>
    <t>ID.RA-04 Ex1</t>
  </si>
  <si>
    <t>ID.RA-04</t>
  </si>
  <si>
    <t>Potential impacts and likelihoods of threats exploiting vulnerabilities are identified and recorded</t>
  </si>
  <si>
    <t>Ex1: Business leaders and cybersecurity risk management practitioners work together to estimate the likelihood and impact of risk scenarios and record them in risk registers</t>
  </si>
  <si>
    <t>PM-09,PM-11,RA-02,RA-03,RA-08,RA-09</t>
  </si>
  <si>
    <t>ID.RA-04 Ex2</t>
  </si>
  <si>
    <t>Ex2: Enumerate the potential business impacts of unauthorized access to the organization's communications, systems, and data processed in or by those systems</t>
  </si>
  <si>
    <t>ID.RA-04 Ex3</t>
  </si>
  <si>
    <t>Ex3: Account for the potential impacts of cascading failures for systems of systems</t>
  </si>
  <si>
    <t>ID.RA-05 Ex1</t>
  </si>
  <si>
    <t>ID.RA-05</t>
  </si>
  <si>
    <t>Threats, vulnerabilities, likelihoods, and impacts are used to understand inherent risk and inform risk response prioritization</t>
  </si>
  <si>
    <t>Ex1: Develop threat models to better understand risks to the data and identify appropriate risk responses</t>
  </si>
  <si>
    <t>PM-16,RA-02,RA-03,RA-07</t>
  </si>
  <si>
    <t>ID.RA-05 Ex2</t>
  </si>
  <si>
    <t>Ex2: Prioritize cybersecurity resource allocations and investments based on estimated likelihoods and impacts</t>
  </si>
  <si>
    <t>ID.RA-06 Ex1</t>
  </si>
  <si>
    <t>ID.RA-06</t>
  </si>
  <si>
    <t>Risk responses are chosen, prioritized, planned, tracked, and communicated</t>
  </si>
  <si>
    <t>Ex1: Apply the vulnerability management plan's criteria for deciding whether to accept, transfer, mitigate, or avoid risk</t>
  </si>
  <si>
    <t>PM-09,PM-18,PM-30,RA-07</t>
  </si>
  <si>
    <t>ID.RA-06 Ex2</t>
  </si>
  <si>
    <t>Ex2: Apply the vulnerability management plan's criteria for selecting compensating controls to mitigate risk</t>
  </si>
  <si>
    <t>ID.RA-06 Ex3</t>
  </si>
  <si>
    <t>Ex3: Track the progress of risk response implementation (e.g., plan of action and milestones [POA&amp;M], risk register, risk detail report)</t>
  </si>
  <si>
    <t>ID.RA-06 Ex4</t>
  </si>
  <si>
    <t>Ex4: Use risk assessment findings to inform risk response decisions and actions</t>
  </si>
  <si>
    <t>ID.RA-06 Ex5</t>
  </si>
  <si>
    <t>Ex5: Communicate planned risk responses to affected stakeholders in priority order</t>
  </si>
  <si>
    <t>ID.RA-07 Ex2</t>
  </si>
  <si>
    <t>Ex2: Document the possible risks of making or not making each proposed change, and provide guidance on rolling back changes</t>
  </si>
  <si>
    <t>ID.RA-07 Ex3</t>
  </si>
  <si>
    <t>Ex3: Document the risks related to each requested exception and the plan for responding to those risks</t>
  </si>
  <si>
    <t>ID.RA-07 Ex4</t>
  </si>
  <si>
    <t>Ex4: Periodically review risks that were accepted based upon planned future actions or milestones</t>
  </si>
  <si>
    <t>ID.RA-08 Ex2</t>
  </si>
  <si>
    <t>Ex2: Assign responsibilities and verify the execution of procedures for processing, analyzing the impact of, and responding to cybersecurity threat, vulnerability, or incident disclosures by suppliers, customers, partners, and government cybersecurity organizations</t>
  </si>
  <si>
    <t>ID.RA-09 Ex1</t>
  </si>
  <si>
    <t>ID.RA-09</t>
  </si>
  <si>
    <t>The authenticity and integrity of hardware and software are assessed prior to acquisition and use</t>
  </si>
  <si>
    <t>Ex1: Assess the authenticity and cybersecurity of critical technology products and services prior to acquisition and use</t>
  </si>
  <si>
    <t>SA-04,SA-05,SA-10,SA-11,SA-15,SA-17,SI-07,SR-05,SR-06,SR-10,SR-11</t>
  </si>
  <si>
    <t>ID.RA-10 Ex1</t>
  </si>
  <si>
    <t>ID.RA-10</t>
  </si>
  <si>
    <t>Critical suppliers are assessed prior to acquisition</t>
  </si>
  <si>
    <t>Ex1: Conduct supplier risk assessments against business and applicable cybersecurity requirements, including the supply chain</t>
  </si>
  <si>
    <t>SR-06</t>
  </si>
  <si>
    <t>PR.AA-01 Ex1</t>
  </si>
  <si>
    <t>PR.AA-01</t>
  </si>
  <si>
    <t>Identities and credentials for authorized users, services, and hardware are managed by the organization</t>
  </si>
  <si>
    <t>Ex1: Initiate requests for new access or additional access for employees, contractors, and others, and track, review, and fulfill the requests, with permission from system or data owners when needed</t>
  </si>
  <si>
    <t>AC-01,AC-02,AC-14,IA-01,IA-02,IA-03,IA-04,IA-05,IA-06,IA-07,IA-08,IA-09,IA-10,IA-11</t>
  </si>
  <si>
    <t>PR.AA-01 Ex2</t>
  </si>
  <si>
    <t>Ex2: Issue, manage, and revoke cryptographic certificates and identity tokens, cryptographic keys (i.e., key management), and other credentials</t>
  </si>
  <si>
    <t>PR.AA-01 Ex3</t>
  </si>
  <si>
    <t>Ex3: Select a unique identifier for each device from immutable hardware characteristics or an identifier securely provisioned to the device</t>
  </si>
  <si>
    <t>PR.AA-01 Ex4</t>
  </si>
  <si>
    <t>Ex4: Physically label authorized hardware with an identifier for inventory and servicing purposes</t>
  </si>
  <si>
    <t>PR.AA-02 Ex1</t>
  </si>
  <si>
    <t>Ex1: Verify a person's claimed identity at enrollment time using government-issued identity credentials (e.g., passport, visa, driver's license)</t>
  </si>
  <si>
    <t>PR.AA-03 Ex1</t>
  </si>
  <si>
    <t>PR.AA-03</t>
  </si>
  <si>
    <t>Users, services, and hardware are authenticated</t>
  </si>
  <si>
    <t>Ex1: Require multifactor authentication</t>
  </si>
  <si>
    <t>AC-07,AC-12,IA-02,IA-03,IA-05,IA-07,IA-08,IA-09,IA-10,IA-11</t>
  </si>
  <si>
    <t>PR.AA-03 Ex2</t>
  </si>
  <si>
    <t>Ex2: Enforce policies for the minimum strength of passwords, PINs, and similar authenticators</t>
  </si>
  <si>
    <t>PR.AA-03 Ex3</t>
  </si>
  <si>
    <t>Ex3: Periodically reauthenticate users, services, and hardware based on risk (e.g., in zero trust architectures)</t>
  </si>
  <si>
    <t>PR.AA-03 Ex4</t>
  </si>
  <si>
    <t>Ex4: Ensure that authorized personnel can access accounts essential for protecting safety under emergency conditions</t>
  </si>
  <si>
    <t>PR.AA-04 Ex1</t>
  </si>
  <si>
    <t>PR.AA-04</t>
  </si>
  <si>
    <t>Identity assertions are protected, conveyed, and verified</t>
  </si>
  <si>
    <t>Ex1: Protect identity assertions that are used to convey authentication and user information through single sign-on systems</t>
  </si>
  <si>
    <t>IA-13</t>
  </si>
  <si>
    <t>PR.AA-04 Ex2</t>
  </si>
  <si>
    <t>Ex2: Protect identity assertions that are used to convey authentication and user information between federated systems</t>
  </si>
  <si>
    <t>PR.AA-04 Ex3</t>
  </si>
  <si>
    <t>Ex3: Implement standards-based approaches for identity assertions in all contexts, and follow all guidance for the generation (e.g., data models, metadata), protection (e.g., digital signing, encryption), and verification (e.g., signature validation) of identity assertions</t>
  </si>
  <si>
    <t>PR.AA-05 Ex1</t>
  </si>
  <si>
    <t>PR.AA-05</t>
  </si>
  <si>
    <t>Access permissions, entitlements, and authorizations are defined in a policy, managed, enforced, and reviewed, and incorporate the principles of least privilege and separation of duties</t>
  </si>
  <si>
    <t>Ex1: Review logical and physical access privileges periodically and whenever someone changes roles or leaves the organization, and promptly rescind privileges that are no longer needed</t>
  </si>
  <si>
    <t>AC-01,AC-02,AC-03,AC-05,AC-06,AC-10,AC-16,AC-17,AC-18,AC-19,AC-24,IA-13</t>
  </si>
  <si>
    <t>PR.AA-05 Ex2</t>
  </si>
  <si>
    <t>Ex2: Take attributes of the requester and the requested resource into account for authorization decisions (e.g., geolocation, day/time, requester endpoint's cyber health)</t>
  </si>
  <si>
    <t>PR.AA-05 Ex3</t>
  </si>
  <si>
    <t>Ex3: Restrict access and privileges to the minimum necessary (e.g., zero trust architecture)</t>
  </si>
  <si>
    <t>PR.AA-05 Ex4</t>
  </si>
  <si>
    <t>Ex4: Periodically review the privileges associated with critical business functions to confirm proper separation of duties</t>
  </si>
  <si>
    <t>PR.AA-06 Ex1</t>
  </si>
  <si>
    <t>PR.AA-06</t>
  </si>
  <si>
    <t>Physical access to assets is managed, monitored, and enforced commensurate with risk</t>
  </si>
  <si>
    <t>Ex1: Use security guards, security cameras, locked entrances, alarm systems, and other physical controls to monitor facilities and restrict access</t>
  </si>
  <si>
    <t>PE-02,PE-03,PE-04,PE-05,PE-06,PE-08,PE-18,PE-19,PE-20</t>
  </si>
  <si>
    <t>PR.AA-06 Ex2</t>
  </si>
  <si>
    <t>Ex2: Employ additional physical security controls for areas that contain high-risk assets</t>
  </si>
  <si>
    <t>PR.AA-06 Ex3</t>
  </si>
  <si>
    <t>Ex3: Escort guests, vendors, and other third parties within areas that contain business-critical assets</t>
  </si>
  <si>
    <t>PR.AT-01 Ex1</t>
  </si>
  <si>
    <t>Ex1: Provide basic cybersecurity awareness and training to employees, contractors, partners, suppliers, and all other users of the organization's non-public resources</t>
  </si>
  <si>
    <t>PR.AT-01 Ex3</t>
  </si>
  <si>
    <t>Ex3: Explain the consequences of cybersecurity policy violations, both to individual users and the organization as a whole</t>
  </si>
  <si>
    <t>PR.AT-01 Ex4</t>
  </si>
  <si>
    <t>Ex4: Periodically assess or test users on their understanding of basic cybersecurity practices</t>
  </si>
  <si>
    <t>PR.AT-01 Ex5</t>
  </si>
  <si>
    <t>Ex5: Require annual refreshers to reinforce existing practices and introduce new practices</t>
  </si>
  <si>
    <t>PR.AT-02 Ex1</t>
  </si>
  <si>
    <t>PR.AT-02</t>
  </si>
  <si>
    <t>Individuals in specialized roles are provided with awareness and training so that they possess the knowledge and skills to perform relevant tasks with cybersecurity risks in mind</t>
  </si>
  <si>
    <t>Ex1: Identify the specialized roles within the organization that require additional cybersecurity training, such as physical and cybersecurity personnel, finance personnel, senior leadership, and anyone with access to business-critical data</t>
  </si>
  <si>
    <t>AT-03</t>
  </si>
  <si>
    <t>PR.AT-02 Ex2</t>
  </si>
  <si>
    <t>Ex2: Provide role-based cybersecurity awareness and training to all those in specialized roles, including contractors, partners, suppliers, and other third parties</t>
  </si>
  <si>
    <t>PR.AT-02 Ex3</t>
  </si>
  <si>
    <t>Ex3: Periodically assess or test users on their understanding of cybersecurity practices for their specialized roles</t>
  </si>
  <si>
    <t>PR.AT-02 Ex4</t>
  </si>
  <si>
    <t>Ex4: Require annual refreshers to reinforce existing practices and introduce new practices</t>
  </si>
  <si>
    <t>PR.DS-01 Ex1</t>
  </si>
  <si>
    <t>Ex1: Use encryption, digital signatures, and cryptographic hashes to protect the confidentiality and integrity of stored data in files, databases, virtual machine disk images, container images, and other resources</t>
  </si>
  <si>
    <t>PR.DS-01 Ex2</t>
  </si>
  <si>
    <t>Ex2: Use full disk encryption to protect data stored on user endpoints</t>
  </si>
  <si>
    <t>PR.DS-01 Ex3</t>
  </si>
  <si>
    <t>Ex3: Confirm the integrity of software by validating signatures</t>
  </si>
  <si>
    <t>PR.DS-01 Ex5</t>
  </si>
  <si>
    <t>Ex5: Physically secure removable media containing unencrypted sensitive information, such as within locked offices or file cabinets</t>
  </si>
  <si>
    <t>PR.DS-02 Ex1</t>
  </si>
  <si>
    <t>PR.DS-02</t>
  </si>
  <si>
    <t>The confidentiality, integrity, and availability of data-in-transit are protected</t>
  </si>
  <si>
    <t>Ex1: Use encryption, digital signatures, and cryptographic hashes to protect the confidentiality and integrity of network communications</t>
  </si>
  <si>
    <t>AU-16,CA-03,SC-04,SC-07,SC-08,SC-11,SC-12,SC-13,SC-16,SC-40,SC-43,SI-03,SI-04,SI-07</t>
  </si>
  <si>
    <t>PR.DS-02 Ex2</t>
  </si>
  <si>
    <t>Ex2: Automatically encrypt or block outbound emails and other communications that contain sensitive data, depending on the data classification</t>
  </si>
  <si>
    <t>PR.DS-02 Ex3</t>
  </si>
  <si>
    <t>Ex3: Block access to personal email, file sharing, file storage services, and other personal communications applications and services from organizational systems and networks</t>
  </si>
  <si>
    <t>PR.DS-02 Ex4</t>
  </si>
  <si>
    <t>Ex4: Prevent reuse of sensitive data from production environments (e.g., customer records) in development, testing, and other non-production environments</t>
  </si>
  <si>
    <t>PR.DS-10 Ex2</t>
  </si>
  <si>
    <t>Ex2: Protect data in use from access by other users and processes of the same platform</t>
  </si>
  <si>
    <t>PR.DS-11 Ex1</t>
  </si>
  <si>
    <t>PR.DS-11</t>
  </si>
  <si>
    <t>Backups of data are created, protected, maintained, and tested</t>
  </si>
  <si>
    <t>Ex1: Continuously back up critical data in near-real-time, and back up other data frequently at agreed-upon schedules</t>
  </si>
  <si>
    <t>CP-06,CP-09</t>
  </si>
  <si>
    <t>PR.DS-11 Ex2</t>
  </si>
  <si>
    <t>Ex2: Test backups and restores for all types of data sources at least annually</t>
  </si>
  <si>
    <t>PR.DS-11 Ex3</t>
  </si>
  <si>
    <t>Ex3: Securely store some backups offline and offsite so that an incident or disaster will not damage them</t>
  </si>
  <si>
    <t>PR.DS-11 Ex4</t>
  </si>
  <si>
    <t>Ex4: Enforce geographic separation and geolocation restrictions for data backup storage</t>
  </si>
  <si>
    <t>PR.IR-01 Ex1</t>
  </si>
  <si>
    <t>PR.IR-01</t>
  </si>
  <si>
    <t>Networks and environments are protected from unauthorized logical access and usage</t>
  </si>
  <si>
    <t>Ex1: Logically segment organization networks and cloud-based platforms according to trust boundaries and platform types (e.g., IT, IoT, OT, mobile, guests), and permit required communications only between segments</t>
  </si>
  <si>
    <t>AC-03,AC-04,SC-04,SC-05,SC-07</t>
  </si>
  <si>
    <t>PR.IR-01 Ex2</t>
  </si>
  <si>
    <t>Ex2: Logically segment organization networks from external networks, and permit only necessary communications to enter the organization's networks from the external networks</t>
  </si>
  <si>
    <t>PR.IR-01 Ex3</t>
  </si>
  <si>
    <t>Ex3: Implement zero trust architectures to restrict network access to each resource to the minimum necessary</t>
  </si>
  <si>
    <t>PR.IR-01 Ex4</t>
  </si>
  <si>
    <t>Ex4: Check the cyber health of endpoints before allowing them to access and use production resources</t>
  </si>
  <si>
    <t>PR.IR-02 Ex2</t>
  </si>
  <si>
    <t>Ex2: Include protection from environmental threats and provisions for adequate operating infrastructure in requirements for service providers that operate systems on the organization's behalf</t>
  </si>
  <si>
    <t>PR.IR-03 Ex1</t>
  </si>
  <si>
    <t>Ex1: Avoid single points of failure in systems and infrastructure</t>
  </si>
  <si>
    <t>PR.IR-03 Ex2</t>
  </si>
  <si>
    <t>Ex2: Use load balancing to increase capacity and improve reliability</t>
  </si>
  <si>
    <t>PR.IR-04 Ex1</t>
  </si>
  <si>
    <t>PR.IR-04</t>
  </si>
  <si>
    <t>Adequate resource capacity to ensure availability is maintained</t>
  </si>
  <si>
    <t>Ex1: Monitor usage of storage, power, compute, network bandwidth, and other resources</t>
  </si>
  <si>
    <t>CP-06,CP-07,CP-08,PM-03,PM-09</t>
  </si>
  <si>
    <t>PR.IR-04 Ex2</t>
  </si>
  <si>
    <t>Ex2: Forecast future needs, and scale resources accordingly</t>
  </si>
  <si>
    <t>PR.PS-01 Ex2</t>
  </si>
  <si>
    <t>Ex2: Review all default configuration settings that may potentially impact cybersecurity when installing or upgrading software</t>
  </si>
  <si>
    <t>PR.PS-01 Ex3</t>
  </si>
  <si>
    <t>Ex3: Monitor implemented software for deviations from approved baselines</t>
  </si>
  <si>
    <t>PR.PS-02 Ex1</t>
  </si>
  <si>
    <t>PR.PS-02</t>
  </si>
  <si>
    <t>Software is maintained, replaced, and removed commensurate with risk</t>
  </si>
  <si>
    <t>Ex1: Perform routine and emergency patching within the timeframes specified in the vulnerability management plan</t>
  </si>
  <si>
    <t>CM-11,MA-03(06),SA-10(01),SI-02,SI-07</t>
  </si>
  <si>
    <t>PR.PS-02 Ex2</t>
  </si>
  <si>
    <t>Ex2: Update container images, and deploy new container instances to replace rather than update existing instances</t>
  </si>
  <si>
    <t>PR.PS-02 Ex3</t>
  </si>
  <si>
    <t>Ex3: Replace end-of-life software and service versions with supported, maintained versions</t>
  </si>
  <si>
    <t>PR.PS-02 Ex4</t>
  </si>
  <si>
    <t>Ex4: Uninstall and remove unauthorized software and services that pose undue risks</t>
  </si>
  <si>
    <t>PR.PS-02 Ex5</t>
  </si>
  <si>
    <t>Ex5: Uninstall and remove any unnecessary software components (e.g., operating system utilities) that attackers might misuse</t>
  </si>
  <si>
    <t>PR.PS-02 Ex6</t>
  </si>
  <si>
    <t>Ex6: Define and implement plans for software and service end-of-life maintenance support and obsolescence</t>
  </si>
  <si>
    <t>PR.PS-03 Ex1</t>
  </si>
  <si>
    <t>PR.PS-03</t>
  </si>
  <si>
    <t>Hardware is maintained, replaced, and removed commensurate with risk</t>
  </si>
  <si>
    <t>Ex1: Replace hardware when it lacks needed security capabilities or when it cannot support software with needed security capabilities</t>
  </si>
  <si>
    <t>CM-07(09),SA-10(03),SC-03(01),SC-39(01),SC-49,SC-51</t>
  </si>
  <si>
    <t>PR.PS-03 Ex2</t>
  </si>
  <si>
    <t>Ex2: Define and implement plans for hardware end-of-life maintenance support and obsolescence</t>
  </si>
  <si>
    <t>PR.PS-03 Ex3</t>
  </si>
  <si>
    <t>Ex3: Perform hardware disposal in a secure, responsible, and auditable manner</t>
  </si>
  <si>
    <t>PR.PS-04 Ex1</t>
  </si>
  <si>
    <t>PR.PS-04</t>
  </si>
  <si>
    <t>Log records are generated and made available for continuous monitoring</t>
  </si>
  <si>
    <t>Ex1: Configure all operating systems, applications, and services (including cloud-based services) to generate log records</t>
  </si>
  <si>
    <t>AU-02,AU-03,AU-06,AU-07,AU-11,AU-12</t>
  </si>
  <si>
    <t>PR.PS-04 Ex2</t>
  </si>
  <si>
    <t>Ex2: Configure log generators to securely share their logs with the organization's logging infrastructure systems and services</t>
  </si>
  <si>
    <t>PR.PS-04 Ex3</t>
  </si>
  <si>
    <t>Ex3: Configure log generators to record the data needed by zero-trust architectures</t>
  </si>
  <si>
    <t>PR.PS-05 Ex2</t>
  </si>
  <si>
    <t>Ex2: Verify the source of new software and the software's integrity before installing it</t>
  </si>
  <si>
    <t>PR.PS-05 Ex3</t>
  </si>
  <si>
    <t>Ex3: Configure platforms to use only approved DNS services that block access to known malicious domains</t>
  </si>
  <si>
    <t>PR.PS-05 Ex4</t>
  </si>
  <si>
    <t>Ex4: Configure platforms to allow the installation of organization-approved software only</t>
  </si>
  <si>
    <t>PR.PS-06 Ex1</t>
  </si>
  <si>
    <t>PR.PS-06</t>
  </si>
  <si>
    <t>Secure software development practices are integrated, and their performance is monitored throughout the software development life cycle</t>
  </si>
  <si>
    <t>Ex1: Protect all components of organization-developed software from tampering and unauthorized access</t>
  </si>
  <si>
    <t>SA-03,SA-08,SA-10,SA-11,SA-15,SA-17</t>
  </si>
  <si>
    <t>PR.PS-06 Ex2</t>
  </si>
  <si>
    <t>Ex2: Secure all software produced by the organization, with minimal vulnerabilities in their releases</t>
  </si>
  <si>
    <t>PR.PS-06 Ex3</t>
  </si>
  <si>
    <t>Ex3: Maintain the software used in production environments, and securely dispose of software once it is no longer needed</t>
  </si>
  <si>
    <t>RC.CO-03 Ex1</t>
  </si>
  <si>
    <t>RC.CO</t>
  </si>
  <si>
    <t>Incident Recovery Communication (RC.CO)</t>
  </si>
  <si>
    <t>Restoration activities are coordinated with internal and external parties</t>
  </si>
  <si>
    <t>RC.CO-03</t>
  </si>
  <si>
    <t>Recovery activities and progress in restoring operational capabilities are communicated to designated internal and external stakeholders</t>
  </si>
  <si>
    <t>Ex1: Securely share recovery information, including restoration progress, consistent with response plans and information sharing agreements</t>
  </si>
  <si>
    <t>IR-04,IR-06,SR-08</t>
  </si>
  <si>
    <t>RC.CO-03 Ex2</t>
  </si>
  <si>
    <t>Ex2: Regularly update senior leadership on recovery status and restoration progress for major incidents</t>
  </si>
  <si>
    <t>RC.CO-03 Ex3</t>
  </si>
  <si>
    <t>Ex3: Follow the rules and protocols defined in contracts for incident information sharing between the organization and its suppliers</t>
  </si>
  <si>
    <t>RC.CO-03 Ex4</t>
  </si>
  <si>
    <t>Ex4: Coordinate crisis communication between the organization and its critical suppliers</t>
  </si>
  <si>
    <t>RC.CO-04 Ex1</t>
  </si>
  <si>
    <t>RC.CO-04</t>
  </si>
  <si>
    <t>Public updates on incident recovery are shared using approved methods and messaging</t>
  </si>
  <si>
    <t>Ex1: Follow the organization's breach notification procedures for recovering from a data breach incident</t>
  </si>
  <si>
    <t>CP-02,IR-04</t>
  </si>
  <si>
    <t>RC.CO-04 Ex2</t>
  </si>
  <si>
    <t>Ex2: Explain the steps being taken to recover from the incident and to prevent a recurrence</t>
  </si>
  <si>
    <t>RC.RP-01 Ex1</t>
  </si>
  <si>
    <t>RC.RP-01</t>
  </si>
  <si>
    <t>The recovery portion of the incident response plan is executed once initiated from the incident response process</t>
  </si>
  <si>
    <t>Ex1: Begin recovery procedures during or after incident response processes</t>
  </si>
  <si>
    <t>CP-10,IR-04,IR-08</t>
  </si>
  <si>
    <t>RC.RP-01 Ex2</t>
  </si>
  <si>
    <t>Ex2: Make all individuals with recovery responsibilities aware of the plans for recovery and the authorizations required to implement each aspect of the plans</t>
  </si>
  <si>
    <t>RC.RP-02 Ex1</t>
  </si>
  <si>
    <t>RC.RP-02</t>
  </si>
  <si>
    <t>Recovery actions are selected, scoped, prioritized, and performed</t>
  </si>
  <si>
    <t>Ex1: Select recovery actions based on the criteria defined in the incident response plan and available resources</t>
  </si>
  <si>
    <t>RC.RP-02 Ex2</t>
  </si>
  <si>
    <t>Ex2: Change planned recovery actions based on a reassessment of organizational needs and resources</t>
  </si>
  <si>
    <t>RC.RP-04 Ex1</t>
  </si>
  <si>
    <t>RC.RP-04</t>
  </si>
  <si>
    <t>Critical mission functions and cybersecurity risk management are considered to establish post-incident operational norms</t>
  </si>
  <si>
    <t>Ex1: Use business impact and system categorization records (including service delivery objectives) to validate that essential services are restored in the appropriate order</t>
  </si>
  <si>
    <t>IR-01,IR-08,PM-08,PM-09,PM-11</t>
  </si>
  <si>
    <t>RC.RP-04 Ex2</t>
  </si>
  <si>
    <t>Ex2: Work with system owners to confirm the successful restoration of systems and the return to normal operations</t>
  </si>
  <si>
    <t>RC.RP-04 Ex3</t>
  </si>
  <si>
    <t>Ex3: Monitor the performance of restored systems to verify the adequacy of the restoration</t>
  </si>
  <si>
    <t>RC.RP-05 Ex1</t>
  </si>
  <si>
    <t>RC.RP-05</t>
  </si>
  <si>
    <t>The integrity of restored assets is verified, systems and services are restored, and normal operating status is confirmed</t>
  </si>
  <si>
    <t>Ex1: Check restored assets for indicators of compromise and remediation of root causes of the incident before production use</t>
  </si>
  <si>
    <t>CP-10</t>
  </si>
  <si>
    <t>RC.RP-05 Ex2</t>
  </si>
  <si>
    <t>Ex2: Verify the correctness and adequacy of the restoration actions taken before putting a restored system online</t>
  </si>
  <si>
    <t>RC.RP-06 Ex1</t>
  </si>
  <si>
    <t>RC.RP-06</t>
  </si>
  <si>
    <t>The end of incident recovery is declared based on criteria, and incident-related documentation is completed</t>
  </si>
  <si>
    <t>Ex1: Prepare an after-action report that documents the incident itself, the response and recovery actions taken, and lessons learned</t>
  </si>
  <si>
    <t>RC.RP-06 Ex2</t>
  </si>
  <si>
    <t>Ex2: Declare the end of incident recovery once the criteria are met</t>
  </si>
  <si>
    <t>RS.AN-03 Ex1</t>
  </si>
  <si>
    <t>RS.AN</t>
  </si>
  <si>
    <t>Incident Analysis (RS.AN)</t>
  </si>
  <si>
    <t>Investigations are conducted to ensure effective response and support forensics and recovery activities</t>
  </si>
  <si>
    <t>RS.AN-03</t>
  </si>
  <si>
    <t>Analysis is performed to establish what has taken place during an incident and the root cause of the incident</t>
  </si>
  <si>
    <t>Ex1: Determine the sequence of events that occurred during the incident and which assets and resources were involved in each event</t>
  </si>
  <si>
    <t>AU-07,IR-04</t>
  </si>
  <si>
    <t>RS.AN-03 Ex2</t>
  </si>
  <si>
    <t>Ex2: Attempt to determine what vulnerabilities, threats, and threat actors were directly or indirectly involved in the incident</t>
  </si>
  <si>
    <t>RS.AN-03 Ex3</t>
  </si>
  <si>
    <t>Ex3: Analyze the incident to find the underlying, systemic root causes</t>
  </si>
  <si>
    <t>RS.AN-03 Ex4</t>
  </si>
  <si>
    <t>Ex4: Check any cyber deception technology for additional information on attacker behavior</t>
  </si>
  <si>
    <t>RS.AN-06 Ex1</t>
  </si>
  <si>
    <t>RS.AN-06</t>
  </si>
  <si>
    <t>Actions performed during an investigation are recorded, and the records' integrity and provenance are preserved</t>
  </si>
  <si>
    <t>Ex1: Require each incident responder and others (e.g., system administrators, cybersecurity engineers) who perform incident response tasks to record their actions and make the record immutable</t>
  </si>
  <si>
    <t>AU-07,IR-04,IR-06</t>
  </si>
  <si>
    <t>RS.AN-06 Ex2</t>
  </si>
  <si>
    <t>Ex2: Require the incident lead to document the incident in detail and be responsible for preserving the integrity of the documentation and the sources of all information being reported</t>
  </si>
  <si>
    <t>RS.AN-07 Ex1</t>
  </si>
  <si>
    <t>RS.AN-07</t>
  </si>
  <si>
    <t>Incident data and metadata are collected, and their integrity and provenance are preserved</t>
  </si>
  <si>
    <t>Ex1: Collect, preserve, and safeguard the integrity of all pertinent incident data and metadata (e.g., data source, date/time of collection) based on evidence preservation and chain-of-custody procedures</t>
  </si>
  <si>
    <t>RS.AN-08 Ex1</t>
  </si>
  <si>
    <t>RS.AN-08</t>
  </si>
  <si>
    <t>An incident's magnitude is estimated and validated</t>
  </si>
  <si>
    <t>Ex1: Review other potential targets of the incident to search for indicators of compromise and evidence of persistence</t>
  </si>
  <si>
    <t>IR-04,IR-08,RA-03,RA-07</t>
  </si>
  <si>
    <t>RS.AN-08 Ex2</t>
  </si>
  <si>
    <t>Ex2: Automatically run tools on targets to look for indicators of compromise and evidence of persistence</t>
  </si>
  <si>
    <t>RS.CO-02 Ex1</t>
  </si>
  <si>
    <t>RS.CO</t>
  </si>
  <si>
    <t>Incident Response Reporting and Communication (RS.CO)</t>
  </si>
  <si>
    <t>Response activities are coordinated with internal and external stakeholders as required by laws, regulations, or policies</t>
  </si>
  <si>
    <t>RS.CO-02</t>
  </si>
  <si>
    <t>Internal and external stakeholders are notified of incidents</t>
  </si>
  <si>
    <t>Ex1: Follow the organization's breach notification procedures after discovering a data breach incident, including notifying affected customers</t>
  </si>
  <si>
    <t>IR-04,IR-06,IR-07,SR-03,SR-08</t>
  </si>
  <si>
    <t>RS.CO-02 Ex2</t>
  </si>
  <si>
    <t>Ex2: Notify business partners and customers of incidents in accordance with contractual requirements</t>
  </si>
  <si>
    <t>RS.CO-02 Ex3</t>
  </si>
  <si>
    <t>Ex3: Notify law enforcement agencies and regulatory bodies of incidents based on criteria in the incident response plan and management approval</t>
  </si>
  <si>
    <t>RS.CO-03 Ex1</t>
  </si>
  <si>
    <t>RS.CO-03</t>
  </si>
  <si>
    <t>Information is shared with designated internal and external stakeholders</t>
  </si>
  <si>
    <t>Ex1: Securely share information consistent with response plans and information sharing agreements</t>
  </si>
  <si>
    <t>RS.CO-03 Ex2</t>
  </si>
  <si>
    <t>Ex2: Voluntarily share information about an attacker's observed TTPs, with all sensitive data removed, with an Information Sharing and Analysis Center (ISAC)</t>
  </si>
  <si>
    <t>RS.CO-03 Ex3</t>
  </si>
  <si>
    <t>Ex3: Notify HR when malicious insider activity occurs</t>
  </si>
  <si>
    <t>RS.CO-03 Ex4</t>
  </si>
  <si>
    <t>Ex4: Regularly update senior leadership on the status of major incidents</t>
  </si>
  <si>
    <t>RS.CO-03 Ex5</t>
  </si>
  <si>
    <t>Ex5: Follow the rules and protocols defined in contracts for incident information sharing between the organization and its suppliers</t>
  </si>
  <si>
    <t>RS.CO-03 Ex6</t>
  </si>
  <si>
    <t>Ex6: Coordinate crisis communication methods between the organization and its critical suppliers</t>
  </si>
  <si>
    <t>RS.MA-01 Ex1</t>
  </si>
  <si>
    <t>RS.MA-01</t>
  </si>
  <si>
    <t>The incident response plan is executed in coordination with relevant third parties once an incident is declared</t>
  </si>
  <si>
    <t>Ex1: Detection technologies automatically report confirmed incidents</t>
  </si>
  <si>
    <t>IR-06,IR-07,IR-08,SR-03,SR-08</t>
  </si>
  <si>
    <t>RS.MA-01 Ex2</t>
  </si>
  <si>
    <t>Ex2: Request incident response assistance from the organization's incident response outsourcer</t>
  </si>
  <si>
    <t>RS.MA-01 Ex3</t>
  </si>
  <si>
    <t>Ex3: Designate an incident lead for each incident</t>
  </si>
  <si>
    <t>RS.MA-01 Ex4</t>
  </si>
  <si>
    <t>Ex4: Initiate execution of additional cybersecurity plans as needed to support incident response (for example, business continuity and disaster recovery)</t>
  </si>
  <si>
    <t>RS.MA-02 Ex1</t>
  </si>
  <si>
    <t>RS.MA-02</t>
  </si>
  <si>
    <t>Incident reports are triaged and validated</t>
  </si>
  <si>
    <t>Ex1: Preliminarily review incident reports to confirm that they are cybersecurity-related and necessitate incident response activities</t>
  </si>
  <si>
    <t>RS.MA-02 Ex2</t>
  </si>
  <si>
    <t>Ex2: Apply criteria to estimate the severity of an incident</t>
  </si>
  <si>
    <t>RS.MA-03 Ex1</t>
  </si>
  <si>
    <t>Ex1: Further review and categorize incidents based on the type of incident (e.g., data breach, ransomware, DDoS, account compromise)</t>
  </si>
  <si>
    <t>RS.MA-03 Ex3</t>
  </si>
  <si>
    <t>Ex3: Select incident response strategies for active incidents by balancing the need to quickly recover from an incident with the need to observe the attacker or conduct a more thorough investigation</t>
  </si>
  <si>
    <t>RS.MA-04 Ex1</t>
  </si>
  <si>
    <t>RS.MA-04</t>
  </si>
  <si>
    <t>Incidents are escalated or elevated as needed</t>
  </si>
  <si>
    <t>Ex1: Track and validate the status of all ongoing incidents</t>
  </si>
  <si>
    <t>IR-04,IR-05,IR-06,IR-07</t>
  </si>
  <si>
    <t>RS.MA-04 Ex2</t>
  </si>
  <si>
    <t>Ex2: Coordinate incident escalation or elevation with designated internal and external stakeholders</t>
  </si>
  <si>
    <t>RS.MA-05 Ex1</t>
  </si>
  <si>
    <t>RS.MA-05</t>
  </si>
  <si>
    <t>The criteria for initiating incident recovery are applied</t>
  </si>
  <si>
    <t>Ex1: Apply incident recovery criteria to known and assumed characteristics of the incident to determine whether incident recovery processes should be initiated</t>
  </si>
  <si>
    <t>RS.MA-05 Ex2</t>
  </si>
  <si>
    <t>Ex2: Take the possible operational disruption of incident recovery activities into account</t>
  </si>
  <si>
    <t>RS.MI-01 Ex2</t>
  </si>
  <si>
    <t>Ex2: Allow incident responders to manually select and perform containment actions</t>
  </si>
  <si>
    <t>RS.MI-01 Ex3</t>
  </si>
  <si>
    <t>Ex3: Allow a third party (e.g., internet service provider, managed security service provider) to perform containment actions on behalf of the organization</t>
  </si>
  <si>
    <t>RS.MI-01 Ex4</t>
  </si>
  <si>
    <t>Ex4: Automatically transfer compromised endpoints to a remediation virtual local area network (VLAN)</t>
  </si>
  <si>
    <t>RS.MI-02 Ex1</t>
  </si>
  <si>
    <t>Ex1: Cybersecurity technologies and cybersecurity features of other technologies (e.g., operating systems, network infrastructure devices) automatically perform eradication actions</t>
  </si>
  <si>
    <t>RS.MI-02 Ex3</t>
  </si>
  <si>
    <t>Ex3: Allow a third party (e.g., managed security service provider) to perform eradication actions on behalf of the organization</t>
  </si>
  <si>
    <t>Row Labels</t>
  </si>
  <si>
    <t>Grand Total</t>
  </si>
  <si>
    <t>Average of Q3 Target Score</t>
  </si>
  <si>
    <t>Average of Q2 Target Score</t>
  </si>
  <si>
    <t>Average of Q2 Actual Score</t>
  </si>
  <si>
    <t>Actual</t>
  </si>
  <si>
    <t>Variance</t>
  </si>
  <si>
    <t xml:space="preserve">CSF Profile Assessment: Q2 </t>
  </si>
  <si>
    <t>Target</t>
  </si>
  <si>
    <t>Gap to Target</t>
  </si>
  <si>
    <t>https://www.nist.gov/cyberframework/informative-references</t>
  </si>
  <si>
    <t>CSF 2.0 Organizational Profile Template</t>
  </si>
  <si>
    <t>https://www.nist.gov/cyberframework/profiles</t>
  </si>
  <si>
    <t>NIST CSF to SP800-53 Informative Reference</t>
  </si>
  <si>
    <t xml:space="preserve">https://csrc.nist.gov/projects/olir/informative-reference-catalog#/ </t>
  </si>
  <si>
    <t>Inputs to this workbook</t>
  </si>
  <si>
    <t>NIST Cybersecurity Framework (CSF) 2.0 Informative References workbook</t>
  </si>
  <si>
    <t>Source</t>
  </si>
  <si>
    <t>Link</t>
  </si>
  <si>
    <t>https://github.com/danielmiessler/Telos/blob/main/corporate_telos.md</t>
  </si>
  <si>
    <t>Daniel Miessler: Telos</t>
  </si>
  <si>
    <t>AKYLADE Mastering Cyber Resilience</t>
  </si>
  <si>
    <t>https://www.akylade.com/mastering-cyber-resilience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</si>
</sst>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0_);_(* \(#,##0.0\);_(* &quot;-&quot;??_);_(@_)"/>
  </numFmts>
  <fonts count="27"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b/>
      <sz val="14"/>
      <color indexed="8"/>
      <name val="Aptos Narrow"/>
      <scheme val="minor"/>
    </font>
    <font>
      <b/>
      <sz val="11"/>
      <color theme="0"/>
      <name val="Aptos Narrow"/>
      <scheme val="minor"/>
    </font>
    <font>
      <sz val="11"/>
      <color indexed="8"/>
      <name val="Aptos Narrow"/>
      <family val="2"/>
      <scheme val="minor"/>
    </font>
    <font>
      <b/>
      <sz val="11"/>
      <color indexed="8"/>
      <name val="Aptos Narrow"/>
      <scheme val="minor"/>
    </font>
    <font>
      <b/>
      <sz val="12"/>
      <color theme="1"/>
      <name val="Aptos Narrow"/>
      <scheme val="minor"/>
    </font>
    <font>
      <u/>
      <sz val="12"/>
      <color theme="10"/>
      <name val="Aptos Narrow"/>
      <family val="2"/>
      <scheme val="minor"/>
    </font>
    <font>
      <b/>
      <sz val="18"/>
      <color indexed="8"/>
      <name val="Aptos Narrow"/>
      <scheme val="minor"/>
    </font>
    <font>
      <u/>
      <sz val="11"/>
      <color theme="10"/>
      <name val="Aptos Narrow"/>
      <family val="2"/>
      <scheme val="minor"/>
    </font>
    <font>
      <sz val="11"/>
      <color theme="0"/>
      <name val="Aptos Narrow"/>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1"/>
        <bgColor indexed="64"/>
      </patternFill>
    </fill>
    <fill>
      <patternFill patternType="solid">
        <fgColor theme="0"/>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6">
    <xf numFmtId="0" fontId="0" fillId="0" borderId="0"/>
    <xf numFmtId="43"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20" fillId="0" borderId="0"/>
    <xf numFmtId="0" fontId="23" fillId="0" borderId="0" applyNumberFormat="0" applyFill="0" applyBorder="0" applyAlignment="0" applyProtection="0"/>
    <xf numFmtId="0" fontId="25" fillId="0" borderId="0" applyNumberFormat="0" applyFill="0" applyBorder="0" applyAlignment="0" applyProtection="0"/>
  </cellStyleXfs>
  <cellXfs count="31">
    <xf numFmtId="0" fontId="0" fillId="0" borderId="0" xfId="0"/>
    <xf numFmtId="0" fontId="0" fillId="0" borderId="0" xfId="0" applyAlignment="1">
      <alignment wrapText="1"/>
    </xf>
    <xf numFmtId="16" fontId="0" fillId="0" borderId="0" xfId="0" applyNumberFormat="1"/>
    <xf numFmtId="14" fontId="0" fillId="0" borderId="0" xfId="0" applyNumberFormat="1"/>
    <xf numFmtId="0" fontId="0" fillId="0" borderId="0" xfId="0" pivotButton="1"/>
    <xf numFmtId="0" fontId="0" fillId="0" borderId="0" xfId="0" applyAlignment="1">
      <alignment horizontal="left"/>
    </xf>
    <xf numFmtId="0" fontId="0" fillId="0" borderId="0" xfId="0" pivotButton="1" applyAlignment="1">
      <alignment vertical="top" wrapText="1"/>
    </xf>
    <xf numFmtId="0" fontId="0" fillId="0" borderId="0" xfId="0" applyAlignment="1">
      <alignment vertical="top" wrapText="1"/>
    </xf>
    <xf numFmtId="0" fontId="0" fillId="0" borderId="0" xfId="0" applyAlignment="1">
      <alignment horizontal="left" vertical="top" wrapText="1"/>
    </xf>
    <xf numFmtId="164" fontId="0" fillId="0" borderId="0" xfId="0" applyNumberFormat="1" applyAlignment="1">
      <alignment vertical="top" wrapText="1"/>
    </xf>
    <xf numFmtId="0" fontId="18" fillId="0" borderId="0" xfId="0" applyFont="1" applyAlignment="1">
      <alignment horizontal="left"/>
    </xf>
    <xf numFmtId="0" fontId="19" fillId="33" borderId="10" xfId="0" applyFont="1" applyFill="1" applyBorder="1"/>
    <xf numFmtId="0" fontId="19" fillId="33" borderId="10" xfId="0" applyFont="1" applyFill="1" applyBorder="1" applyAlignment="1">
      <alignment horizontal="right"/>
    </xf>
    <xf numFmtId="164" fontId="19" fillId="33" borderId="10" xfId="0" applyNumberFormat="1" applyFont="1" applyFill="1" applyBorder="1"/>
    <xf numFmtId="0" fontId="0" fillId="0" borderId="10" xfId="0" applyBorder="1"/>
    <xf numFmtId="164" fontId="0" fillId="0" borderId="10" xfId="1" applyNumberFormat="1" applyFont="1" applyBorder="1"/>
    <xf numFmtId="164" fontId="21" fillId="0" borderId="10" xfId="1" applyNumberFormat="1" applyFont="1" applyBorder="1"/>
    <xf numFmtId="0" fontId="20" fillId="0" borderId="0" xfId="43"/>
    <xf numFmtId="0" fontId="20" fillId="34" borderId="0" xfId="43" applyFill="1"/>
    <xf numFmtId="0" fontId="20" fillId="34" borderId="0" xfId="43" applyFill="1" applyAlignment="1">
      <alignment vertical="top" wrapText="1"/>
    </xf>
    <xf numFmtId="0" fontId="20" fillId="0" borderId="0" xfId="43" applyAlignment="1">
      <alignment vertical="top" wrapText="1"/>
    </xf>
    <xf numFmtId="0" fontId="0" fillId="0" borderId="0" xfId="0" applyAlignment="1">
      <alignment horizontal="left" indent="1"/>
    </xf>
    <xf numFmtId="0" fontId="22" fillId="0" borderId="10" xfId="0" applyFont="1" applyBorder="1"/>
    <xf numFmtId="164" fontId="22" fillId="0" borderId="10" xfId="1" applyNumberFormat="1" applyFont="1" applyBorder="1"/>
    <xf numFmtId="0" fontId="24" fillId="34" borderId="0" xfId="43" applyFont="1" applyFill="1"/>
    <xf numFmtId="0" fontId="21" fillId="34" borderId="0" xfId="43" applyFont="1" applyFill="1"/>
    <xf numFmtId="0" fontId="20" fillId="0" borderId="0" xfId="43" applyAlignment="1">
      <alignment horizontal="left" vertical="top" wrapText="1"/>
    </xf>
    <xf numFmtId="0" fontId="25" fillId="0" borderId="0" xfId="45" applyAlignment="1">
      <alignment horizontal="left" vertical="top" wrapText="1"/>
    </xf>
    <xf numFmtId="0" fontId="26" fillId="0" borderId="0" xfId="43" applyFont="1" applyAlignment="1">
      <alignment horizontal="left" vertical="top" wrapText="1"/>
    </xf>
    <xf numFmtId="0" fontId="20" fillId="34" borderId="0" xfId="43" applyFill="1" applyAlignment="1">
      <alignment horizontal="left" vertical="top" wrapText="1"/>
    </xf>
    <xf numFmtId="0" fontId="23" fillId="34" borderId="0" xfId="44" applyFill="1" applyAlignment="1">
      <alignment horizontal="left" vertical="top" wrapText="1"/>
    </xf>
  </cellXfs>
  <cellStyles count="46">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Comma" xfId="1" builtinId="3"/>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Hyperlink" xfId="44" builtinId="8"/>
    <cellStyle name="Hyperlink 2" xfId="45" xr:uid="{EABE2288-6D4A-7149-A0A4-DA68004DBF77}"/>
    <cellStyle name="Input" xfId="10" builtinId="20" customBuiltin="1"/>
    <cellStyle name="Linked Cell" xfId="13" builtinId="24" customBuiltin="1"/>
    <cellStyle name="Neutral" xfId="9" builtinId="28" customBuiltin="1"/>
    <cellStyle name="Normal" xfId="0" builtinId="0"/>
    <cellStyle name="Normal 2" xfId="43" xr:uid="{019A337F-05B8-CF4C-8E89-3AD735A2FBED}"/>
    <cellStyle name="Note" xfId="16" builtinId="10" customBuiltin="1"/>
    <cellStyle name="Output" xfId="11" builtinId="21" customBuiltin="1"/>
    <cellStyle name="Title" xfId="2" builtinId="15" customBuiltin="1"/>
    <cellStyle name="Total" xfId="18" builtinId="25" customBuiltin="1"/>
    <cellStyle name="Warning Text" xfId="15" builtinId="11" customBuiltin="1"/>
  </cellStyles>
  <dxfs count="35">
    <dxf>
      <font>
        <strike val="0"/>
        <outline val="0"/>
        <shadow val="0"/>
        <u val="none"/>
        <vertAlign val="baseline"/>
        <sz val="11"/>
        <color theme="0"/>
        <name val="Aptos Narrow"/>
        <family val="2"/>
        <scheme val="minor"/>
      </font>
      <alignment horizontal="left" vertical="top" textRotation="0" wrapText="1" indent="0" justifyLastLine="0" shrinkToFit="0" readingOrder="0"/>
    </dxf>
    <dxf>
      <font>
        <color rgb="FF9C0006"/>
      </font>
      <fill>
        <patternFill>
          <bgColor rgb="FFFFC7CE"/>
        </patternFill>
      </fill>
    </dxf>
    <dxf>
      <font>
        <color rgb="FF006100"/>
      </font>
      <fill>
        <patternFill>
          <bgColor rgb="FFC6EFCE"/>
        </patternFill>
      </fill>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vertical="top"/>
    </dxf>
    <dxf>
      <alignment vertical="top"/>
    </dxf>
    <dxf>
      <alignment wrapText="1"/>
    </dxf>
    <dxf>
      <alignment wrapText="1"/>
    </dxf>
    <dxf>
      <alignment vertical="top"/>
    </dxf>
    <dxf>
      <alignment vertical="top"/>
    </dxf>
    <dxf>
      <alignment wrapText="1"/>
    </dxf>
    <dxf>
      <numFmt numFmtId="164" formatCode="_(* #,##0.0_);_(* \(#,##0.0\);_(* &quot;-&quot;??_);_(@_)"/>
    </dxf>
    <dxf>
      <alignment vertical="top"/>
    </dxf>
    <dxf>
      <alignment vertical="top"/>
    </dxf>
    <dxf>
      <alignment wrapText="1"/>
    </dxf>
    <dxf>
      <alignment wrapText="1"/>
    </dxf>
    <dxf>
      <alignment vertical="top"/>
    </dxf>
    <dxf>
      <alignment vertical="top"/>
    </dxf>
    <dxf>
      <alignment wrapText="1"/>
    </dxf>
    <dxf>
      <numFmt numFmtId="164" formatCode="_(* #,##0.0_);_(* \(#,##0.0\);_(* &quot;-&quot;??_);_(@_)"/>
    </dxf>
    <dxf>
      <alignment vertical="top"/>
    </dxf>
    <dxf>
      <alignment vertical="top"/>
    </dxf>
    <dxf>
      <alignment vertical="top"/>
    </dxf>
    <dxf>
      <alignment vertical="top"/>
    </dxf>
    <dxf>
      <alignment vertical="top"/>
    </dxf>
    <dxf>
      <alignment vertical="top"/>
    </dxf>
    <dxf>
      <alignment wrapText="1"/>
    </dxf>
    <dxf>
      <alignment wrapText="1"/>
    </dxf>
    <dxf>
      <alignment wrapText="1"/>
    </dxf>
    <dxf>
      <alignment wrapText="1"/>
    </dxf>
    <dxf>
      <alignment wrapText="1"/>
    </dxf>
    <dxf>
      <alignment wrapText="1"/>
    </dxf>
    <dxf>
      <numFmt numFmtId="164" formatCode="_(* #,##0.0_);_(* \(#,##0.0\);_(* &quot;-&quot;??_);_(@_)"/>
    </dxf>
  </dxfs>
  <tableStyles count="0" defaultTableStyle="TableStyleMedium2" defaultPivotStyle="PivotStyleLight16"/>
  <colors>
    <mruColors>
      <color rgb="FFFFC7CE"/>
      <color rgb="FFC1E5F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CSF Profile</a:t>
            </a:r>
            <a:r>
              <a:rPr lang="en-US" baseline="0"/>
              <a:t> Assessment: Q2</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BDE1F1">
              <a:alpha val="78039"/>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B4B6"/>
          </a:solidFill>
          <a:ln w="19050">
            <a:solidFill>
              <a:schemeClr val="tx1"/>
            </a:solidFill>
            <a:prstDash val="sysDot"/>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FFB3"/>
          </a:solidFill>
          <a:ln w="19050">
            <a:solidFill>
              <a:schemeClr val="tx1"/>
            </a:solidFill>
            <a:prstDash val="dash"/>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FFFFB3"/>
          </a:solidFill>
          <a:ln w="19050">
            <a:solidFill>
              <a:schemeClr val="tx1"/>
            </a:solidFill>
            <a:prstDash val="dash"/>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FB4B6"/>
          </a:solidFill>
          <a:ln w="19050">
            <a:solidFill>
              <a:schemeClr val="tx1"/>
            </a:solidFill>
            <a:prstDash val="sysDot"/>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BDE1F1">
              <a:alpha val="78039"/>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radarChart>
        <c:radarStyle val="filled"/>
        <c:varyColors val="0"/>
        <c:ser>
          <c:idx val="0"/>
          <c:order val="0"/>
          <c:tx>
            <c:v>Target</c:v>
          </c:tx>
          <c:spPr>
            <a:solidFill>
              <a:srgbClr val="FFC7CE"/>
            </a:solidFill>
            <a:ln w="19050">
              <a:solidFill>
                <a:schemeClr val="tx1"/>
              </a:solidFill>
              <a:prstDash val="dash"/>
            </a:ln>
            <a:effectLst/>
          </c:spPr>
          <c:cat>
            <c:strLit>
              <c:ptCount val="6"/>
              <c:pt idx="0">
                <c:v>GOVERN (GV)</c:v>
              </c:pt>
              <c:pt idx="1">
                <c:v>IDENTIFY (ID)</c:v>
              </c:pt>
              <c:pt idx="2">
                <c:v>PROTECT (PR)</c:v>
              </c:pt>
              <c:pt idx="3">
                <c:v>DETECT (DE)</c:v>
              </c:pt>
              <c:pt idx="4">
                <c:v>RESPOND (RS)</c:v>
              </c:pt>
              <c:pt idx="5">
                <c:v>RECOVER (RC)</c:v>
              </c:pt>
            </c:strLit>
          </c:cat>
          <c:val>
            <c:numRef>
              <c:f>'Pivot by Function'!$C$14:$C$19</c:f>
              <c:numCache>
                <c:formatCode>_(* #,##0.0_);_(* \(#,##0.0\);_(* "-"??_);_(@_)</c:formatCode>
                <c:ptCount val="6"/>
                <c:pt idx="0">
                  <c:v>5</c:v>
                </c:pt>
                <c:pt idx="1">
                  <c:v>5</c:v>
                </c:pt>
                <c:pt idx="2">
                  <c:v>5</c:v>
                </c:pt>
                <c:pt idx="3">
                  <c:v>5</c:v>
                </c:pt>
                <c:pt idx="4">
                  <c:v>5</c:v>
                </c:pt>
                <c:pt idx="5">
                  <c:v>5</c:v>
                </c:pt>
              </c:numCache>
            </c:numRef>
          </c:val>
          <c:extLst>
            <c:ext xmlns:c16="http://schemas.microsoft.com/office/drawing/2014/chart" uri="{C3380CC4-5D6E-409C-BE32-E72D297353CC}">
              <c16:uniqueId val="{00000000-DE9F-8943-8197-58F4AD62844B}"/>
            </c:ext>
          </c:extLst>
        </c:ser>
        <c:ser>
          <c:idx val="2"/>
          <c:order val="1"/>
          <c:tx>
            <c:v>Actual</c:v>
          </c:tx>
          <c:spPr>
            <a:solidFill>
              <a:srgbClr val="BDE1F1">
                <a:alpha val="78039"/>
              </a:srgbClr>
            </a:solidFill>
            <a:ln>
              <a:noFill/>
            </a:ln>
            <a:effectLst/>
          </c:spPr>
          <c:cat>
            <c:strLit>
              <c:ptCount val="6"/>
              <c:pt idx="0">
                <c:v>GOVERN (GV)</c:v>
              </c:pt>
              <c:pt idx="1">
                <c:v>IDENTIFY (ID)</c:v>
              </c:pt>
              <c:pt idx="2">
                <c:v>PROTECT (PR)</c:v>
              </c:pt>
              <c:pt idx="3">
                <c:v>DETECT (DE)</c:v>
              </c:pt>
              <c:pt idx="4">
                <c:v>RESPOND (RS)</c:v>
              </c:pt>
              <c:pt idx="5">
                <c:v>RECOVER (RC)</c:v>
              </c:pt>
            </c:strLit>
          </c:cat>
          <c:val>
            <c:numRef>
              <c:f>'Pivot by Function'!$B$14:$B$19</c:f>
              <c:numCache>
                <c:formatCode>_(* #,##0.0_);_(* \(#,##0.0\);_(* "-"??_);_(@_)</c:formatCode>
                <c:ptCount val="6"/>
                <c:pt idx="0">
                  <c:v>6.083333333333333</c:v>
                </c:pt>
                <c:pt idx="1">
                  <c:v>3.8333333333333335</c:v>
                </c:pt>
                <c:pt idx="2">
                  <c:v>4.5</c:v>
                </c:pt>
                <c:pt idx="3">
                  <c:v>4.125</c:v>
                </c:pt>
                <c:pt idx="4">
                  <c:v>3.6666666666666665</c:v>
                </c:pt>
                <c:pt idx="5">
                  <c:v>3</c:v>
                </c:pt>
              </c:numCache>
            </c:numRef>
          </c:val>
          <c:extLst>
            <c:ext xmlns:c16="http://schemas.microsoft.com/office/drawing/2014/chart" uri="{C3380CC4-5D6E-409C-BE32-E72D297353CC}">
              <c16:uniqueId val="{00000002-DE9F-8943-8197-58F4AD62844B}"/>
            </c:ext>
          </c:extLst>
        </c:ser>
        <c:dLbls>
          <c:showLegendKey val="0"/>
          <c:showVal val="0"/>
          <c:showCatName val="0"/>
          <c:showSerName val="0"/>
          <c:showPercent val="0"/>
          <c:showBubbleSize val="0"/>
        </c:dLbls>
        <c:axId val="2096098879"/>
        <c:axId val="2096100591"/>
      </c:radarChart>
      <c:catAx>
        <c:axId val="20960988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2096100591"/>
        <c:crosses val="autoZero"/>
        <c:auto val="1"/>
        <c:lblAlgn val="ctr"/>
        <c:lblOffset val="100"/>
        <c:noMultiLvlLbl val="0"/>
      </c:catAx>
      <c:valAx>
        <c:axId val="2096100591"/>
        <c:scaling>
          <c:orientation val="minMax"/>
          <c:max val="10"/>
        </c:scaling>
        <c:delete val="0"/>
        <c:axPos val="l"/>
        <c:majorGridlines>
          <c:spPr>
            <a:ln w="9525" cap="flat" cmpd="sng" algn="ctr">
              <a:solidFill>
                <a:schemeClr val="tx1">
                  <a:lumMod val="15000"/>
                  <a:lumOff val="85000"/>
                </a:schemeClr>
              </a:solidFill>
              <a:round/>
            </a:ln>
            <a:effectLst/>
          </c:spPr>
        </c:majorGridlines>
        <c:numFmt formatCode="_(* #,##0.0_);_(* \(#,##0.0\);_(* &quot;-&quot;??_);_(@_)"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2096098879"/>
        <c:crosses val="autoZero"/>
        <c:crossBetween val="between"/>
        <c:majorUnit val="2"/>
      </c:valAx>
      <c:spPr>
        <a:noFill/>
        <a:ln>
          <a:noFill/>
        </a:ln>
        <a:effectLst/>
      </c:spPr>
    </c:plotArea>
    <c:legend>
      <c:legendPos val="t"/>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CSF Profile Assessment; Q1 2025</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B4B6"/>
          </a:solidFill>
          <a:ln w="19050">
            <a:solidFill>
              <a:schemeClr val="bg1">
                <a:lumMod val="50000"/>
              </a:schemeClr>
            </a:solidFill>
            <a:prstDash val="sysDot"/>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FFB3"/>
          </a:solidFill>
          <a:ln w="19050">
            <a:solidFill>
              <a:schemeClr val="bg1">
                <a:lumMod val="50000"/>
              </a:schemeClr>
            </a:solidFill>
            <a:prstDash val="dash"/>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FFFFB3"/>
          </a:solidFill>
          <a:ln w="19050">
            <a:solidFill>
              <a:schemeClr val="bg1">
                <a:lumMod val="50000"/>
              </a:schemeClr>
            </a:solidFill>
            <a:prstDash val="dash"/>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FB4B6"/>
          </a:solidFill>
          <a:ln w="19050">
            <a:solidFill>
              <a:schemeClr val="bg1">
                <a:lumMod val="50000"/>
              </a:schemeClr>
            </a:solidFill>
            <a:prstDash val="sysDot"/>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FFFFB3"/>
          </a:solidFill>
          <a:ln w="25400">
            <a:solidFill>
              <a:schemeClr val="tx1"/>
            </a:solidFill>
            <a:prstDash val="dash"/>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FFB4B6"/>
          </a:solidFill>
          <a:ln w="28575">
            <a:solidFill>
              <a:schemeClr val="tx1"/>
            </a:solidFill>
            <a:prstDash val="sysDot"/>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C1E5F5">
              <a:alpha val="89020"/>
            </a:srgbClr>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radarChart>
        <c:radarStyle val="filled"/>
        <c:varyColors val="0"/>
        <c:ser>
          <c:idx val="0"/>
          <c:order val="0"/>
          <c:tx>
            <c:v>Target </c:v>
          </c:tx>
          <c:spPr>
            <a:solidFill>
              <a:srgbClr val="FFC7CE"/>
            </a:solidFill>
            <a:ln w="19050">
              <a:solidFill>
                <a:schemeClr val="tx1"/>
              </a:solidFill>
              <a:prstDash val="sysDash"/>
            </a:ln>
            <a:effectLst/>
          </c:spPr>
          <c:cat>
            <c:strLit>
              <c:ptCount val="22"/>
              <c:pt idx="0">
                <c:v>DE.AE</c:v>
              </c:pt>
              <c:pt idx="1">
                <c:v>DE.CM</c:v>
              </c:pt>
              <c:pt idx="2">
                <c:v>GV.OC</c:v>
              </c:pt>
              <c:pt idx="3">
                <c:v>GV.OV</c:v>
              </c:pt>
              <c:pt idx="4">
                <c:v>GV.PO</c:v>
              </c:pt>
              <c:pt idx="5">
                <c:v>GV.RM</c:v>
              </c:pt>
              <c:pt idx="6">
                <c:v>GV.RR</c:v>
              </c:pt>
              <c:pt idx="7">
                <c:v>GV.SC</c:v>
              </c:pt>
              <c:pt idx="8">
                <c:v>ID.AM</c:v>
              </c:pt>
              <c:pt idx="9">
                <c:v>ID.IM</c:v>
              </c:pt>
              <c:pt idx="10">
                <c:v>ID.RA</c:v>
              </c:pt>
              <c:pt idx="11">
                <c:v>PR.AA</c:v>
              </c:pt>
              <c:pt idx="12">
                <c:v>PR.AT</c:v>
              </c:pt>
              <c:pt idx="13">
                <c:v>PR.DS</c:v>
              </c:pt>
              <c:pt idx="14">
                <c:v>PR.IR</c:v>
              </c:pt>
              <c:pt idx="15">
                <c:v>PR.PS</c:v>
              </c:pt>
              <c:pt idx="16">
                <c:v>RC.CO</c:v>
              </c:pt>
              <c:pt idx="17">
                <c:v>RC.RP</c:v>
              </c:pt>
              <c:pt idx="18">
                <c:v>RS.AN</c:v>
              </c:pt>
              <c:pt idx="19">
                <c:v>RS.CO</c:v>
              </c:pt>
              <c:pt idx="20">
                <c:v>RS.MA</c:v>
              </c:pt>
              <c:pt idx="21">
                <c:v>RS.MI</c:v>
              </c:pt>
            </c:strLit>
          </c:cat>
          <c:val>
            <c:numRef>
              <c:f>'Category Pivot Radar'!$B$4:$B$21</c:f>
              <c:numCache>
                <c:formatCode>_(* #,##0.0_);_(* \(#,##0.0\);_(* "-"??_);_(@_)</c:formatCode>
                <c:ptCount val="18"/>
                <c:pt idx="0">
                  <c:v>5</c:v>
                </c:pt>
                <c:pt idx="1">
                  <c:v>5</c:v>
                </c:pt>
                <c:pt idx="2">
                  <c:v>5</c:v>
                </c:pt>
                <c:pt idx="3">
                  <c:v>5</c:v>
                </c:pt>
                <c:pt idx="4">
                  <c:v>5</c:v>
                </c:pt>
                <c:pt idx="5">
                  <c:v>5</c:v>
                </c:pt>
                <c:pt idx="6">
                  <c:v>5</c:v>
                </c:pt>
                <c:pt idx="7">
                  <c:v>5</c:v>
                </c:pt>
                <c:pt idx="8">
                  <c:v>5</c:v>
                </c:pt>
                <c:pt idx="9">
                  <c:v>5</c:v>
                </c:pt>
                <c:pt idx="10">
                  <c:v>5</c:v>
                </c:pt>
                <c:pt idx="11">
                  <c:v>5</c:v>
                </c:pt>
                <c:pt idx="12">
                  <c:v>5</c:v>
                </c:pt>
                <c:pt idx="13">
                  <c:v>5</c:v>
                </c:pt>
                <c:pt idx="14">
                  <c:v>5</c:v>
                </c:pt>
                <c:pt idx="15">
                  <c:v>5</c:v>
                </c:pt>
                <c:pt idx="16">
                  <c:v>5</c:v>
                </c:pt>
                <c:pt idx="17">
                  <c:v>5</c:v>
                </c:pt>
              </c:numCache>
            </c:numRef>
          </c:val>
          <c:extLst>
            <c:ext xmlns:c16="http://schemas.microsoft.com/office/drawing/2014/chart" uri="{C3380CC4-5D6E-409C-BE32-E72D297353CC}">
              <c16:uniqueId val="{00000000-1E83-A249-B560-13E11D84B359}"/>
            </c:ext>
          </c:extLst>
        </c:ser>
        <c:ser>
          <c:idx val="2"/>
          <c:order val="1"/>
          <c:tx>
            <c:v>Actual</c:v>
          </c:tx>
          <c:spPr>
            <a:solidFill>
              <a:srgbClr val="C1E5F5">
                <a:alpha val="89020"/>
              </a:srgbClr>
            </a:solidFill>
            <a:ln w="25400">
              <a:noFill/>
            </a:ln>
            <a:effectLst/>
          </c:spPr>
          <c:cat>
            <c:strLit>
              <c:ptCount val="22"/>
              <c:pt idx="0">
                <c:v>DE.AE</c:v>
              </c:pt>
              <c:pt idx="1">
                <c:v>DE.CM</c:v>
              </c:pt>
              <c:pt idx="2">
                <c:v>GV.OC</c:v>
              </c:pt>
              <c:pt idx="3">
                <c:v>GV.OV</c:v>
              </c:pt>
              <c:pt idx="4">
                <c:v>GV.PO</c:v>
              </c:pt>
              <c:pt idx="5">
                <c:v>GV.RM</c:v>
              </c:pt>
              <c:pt idx="6">
                <c:v>GV.RR</c:v>
              </c:pt>
              <c:pt idx="7">
                <c:v>GV.SC</c:v>
              </c:pt>
              <c:pt idx="8">
                <c:v>ID.AM</c:v>
              </c:pt>
              <c:pt idx="9">
                <c:v>ID.IM</c:v>
              </c:pt>
              <c:pt idx="10">
                <c:v>ID.RA</c:v>
              </c:pt>
              <c:pt idx="11">
                <c:v>PR.AA</c:v>
              </c:pt>
              <c:pt idx="12">
                <c:v>PR.AT</c:v>
              </c:pt>
              <c:pt idx="13">
                <c:v>PR.DS</c:v>
              </c:pt>
              <c:pt idx="14">
                <c:v>PR.IR</c:v>
              </c:pt>
              <c:pt idx="15">
                <c:v>PR.PS</c:v>
              </c:pt>
              <c:pt idx="16">
                <c:v>RC.CO</c:v>
              </c:pt>
              <c:pt idx="17">
                <c:v>RC.RP</c:v>
              </c:pt>
              <c:pt idx="18">
                <c:v>RS.AN</c:v>
              </c:pt>
              <c:pt idx="19">
                <c:v>RS.CO</c:v>
              </c:pt>
              <c:pt idx="20">
                <c:v>RS.MA</c:v>
              </c:pt>
              <c:pt idx="21">
                <c:v>RS.MI</c:v>
              </c:pt>
            </c:strLit>
          </c:cat>
          <c:val>
            <c:numRef>
              <c:f>'Category Pivot Radar'!$C$4:$C$21</c:f>
              <c:numCache>
                <c:formatCode>_(* #,##0.0_);_(* \(#,##0.0\);_(* "-"??_);_(@_)</c:formatCode>
                <c:ptCount val="18"/>
                <c:pt idx="0">
                  <c:v>6.25</c:v>
                </c:pt>
                <c:pt idx="1">
                  <c:v>6.5</c:v>
                </c:pt>
                <c:pt idx="2">
                  <c:v>6.5</c:v>
                </c:pt>
                <c:pt idx="3">
                  <c:v>6</c:v>
                </c:pt>
                <c:pt idx="4">
                  <c:v>5.916666666666667</c:v>
                </c:pt>
                <c:pt idx="5">
                  <c:v>3</c:v>
                </c:pt>
                <c:pt idx="6">
                  <c:v>3</c:v>
                </c:pt>
                <c:pt idx="7">
                  <c:v>4.666666666666667</c:v>
                </c:pt>
                <c:pt idx="8">
                  <c:v>5</c:v>
                </c:pt>
                <c:pt idx="9">
                  <c:v>5</c:v>
                </c:pt>
                <c:pt idx="10">
                  <c:v>4.5</c:v>
                </c:pt>
                <c:pt idx="11">
                  <c:v>4.5</c:v>
                </c:pt>
                <c:pt idx="12">
                  <c:v>4</c:v>
                </c:pt>
                <c:pt idx="13">
                  <c:v>3.3333333333333335</c:v>
                </c:pt>
                <c:pt idx="14">
                  <c:v>4.5999999999999996</c:v>
                </c:pt>
                <c:pt idx="15">
                  <c:v>3</c:v>
                </c:pt>
                <c:pt idx="16">
                  <c:v>4</c:v>
                </c:pt>
                <c:pt idx="17">
                  <c:v>3</c:v>
                </c:pt>
              </c:numCache>
            </c:numRef>
          </c:val>
          <c:extLst>
            <c:ext xmlns:c16="http://schemas.microsoft.com/office/drawing/2014/chart" uri="{C3380CC4-5D6E-409C-BE32-E72D297353CC}">
              <c16:uniqueId val="{00000002-1E83-A249-B560-13E11D84B359}"/>
            </c:ext>
          </c:extLst>
        </c:ser>
        <c:dLbls>
          <c:showLegendKey val="0"/>
          <c:showVal val="0"/>
          <c:showCatName val="0"/>
          <c:showSerName val="0"/>
          <c:showPercent val="0"/>
          <c:showBubbleSize val="0"/>
        </c:dLbls>
        <c:axId val="2096098879"/>
        <c:axId val="2096100591"/>
      </c:radarChart>
      <c:catAx>
        <c:axId val="20960988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6100591"/>
        <c:crosses val="autoZero"/>
        <c:auto val="1"/>
        <c:lblAlgn val="ctr"/>
        <c:lblOffset val="100"/>
        <c:noMultiLvlLbl val="0"/>
      </c:catAx>
      <c:valAx>
        <c:axId val="2096100591"/>
        <c:scaling>
          <c:orientation val="minMax"/>
          <c:max val="10"/>
        </c:scaling>
        <c:delete val="0"/>
        <c:axPos val="l"/>
        <c:majorGridlines>
          <c:spPr>
            <a:ln w="9525" cap="flat" cmpd="sng" algn="ctr">
              <a:solidFill>
                <a:schemeClr val="tx1">
                  <a:lumMod val="15000"/>
                  <a:lumOff val="85000"/>
                </a:schemeClr>
              </a:solidFill>
              <a:round/>
            </a:ln>
            <a:effectLst/>
          </c:spPr>
        </c:majorGridlines>
        <c:numFmt formatCode="_(* #,##0.0_);_(* \(#,##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6098879"/>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[yyyy-mm-dd_CSF_Profile.xlsx]Category Pivot Bar!PivotTable2</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CSF Profile Assessment by Category: Q2</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C1E5F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tx1"/>
            </a:solidFill>
            <a:prstDash val="sysDash"/>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C7C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'Category Pivot Bar'!$B$3</c:f>
              <c:strCache>
                <c:ptCount val="1"/>
                <c:pt idx="0">
                  <c:v>Gap to Target</c:v>
                </c:pt>
              </c:strCache>
            </c:strRef>
          </c:tx>
          <c:spPr>
            <a:solidFill>
              <a:srgbClr val="FFC7CE"/>
            </a:solidFill>
            <a:ln>
              <a:noFill/>
            </a:ln>
            <a:effectLst/>
          </c:spPr>
          <c:invertIfNegative val="0"/>
          <c:cat>
            <c:multiLvlStrRef>
              <c:f>'Category Pivot Bar'!$A$4:$A$28</c:f>
              <c:multiLvlStrCache>
                <c:ptCount val="18"/>
                <c:lvl>
                  <c:pt idx="0">
                    <c:v>GV.OC</c:v>
                  </c:pt>
                  <c:pt idx="1">
                    <c:v>GV.OV</c:v>
                  </c:pt>
                  <c:pt idx="2">
                    <c:v>GV.RM</c:v>
                  </c:pt>
                  <c:pt idx="3">
                    <c:v>GV.RR</c:v>
                  </c:pt>
                  <c:pt idx="4">
                    <c:v>GV.SC</c:v>
                  </c:pt>
                  <c:pt idx="5">
                    <c:v>ID.AM</c:v>
                  </c:pt>
                  <c:pt idx="6">
                    <c:v>ID.IM</c:v>
                  </c:pt>
                  <c:pt idx="7">
                    <c:v>ID.RA</c:v>
                  </c:pt>
                  <c:pt idx="8">
                    <c:v>PR.AA</c:v>
                  </c:pt>
                  <c:pt idx="9">
                    <c:v>PR.AT</c:v>
                  </c:pt>
                  <c:pt idx="10">
                    <c:v>PR.DS</c:v>
                  </c:pt>
                  <c:pt idx="11">
                    <c:v>PR.IR</c:v>
                  </c:pt>
                  <c:pt idx="12">
                    <c:v>PR.PS</c:v>
                  </c:pt>
                  <c:pt idx="13">
                    <c:v>DE.AE</c:v>
                  </c:pt>
                  <c:pt idx="14">
                    <c:v>DE.CM</c:v>
                  </c:pt>
                  <c:pt idx="15">
                    <c:v>RS.MA</c:v>
                  </c:pt>
                  <c:pt idx="16">
                    <c:v>RS.MI</c:v>
                  </c:pt>
                  <c:pt idx="17">
                    <c:v>RC.RP</c:v>
                  </c:pt>
                </c:lvl>
                <c:lvl>
                  <c:pt idx="0">
                    <c:v>GOVERN (GV)</c:v>
                  </c:pt>
                  <c:pt idx="5">
                    <c:v>IDENTIFY (ID)</c:v>
                  </c:pt>
                  <c:pt idx="8">
                    <c:v>PROTECT (PR)</c:v>
                  </c:pt>
                  <c:pt idx="13">
                    <c:v>DETECT (DE)</c:v>
                  </c:pt>
                  <c:pt idx="15">
                    <c:v>RESPOND (RS)</c:v>
                  </c:pt>
                  <c:pt idx="17">
                    <c:v>RECOVER (RC)</c:v>
                  </c:pt>
                </c:lvl>
              </c:multiLvlStrCache>
            </c:multiLvlStrRef>
          </c:cat>
          <c:val>
            <c:numRef>
              <c:f>'Category Pivot Bar'!$B$4:$B$28</c:f>
              <c:numCache>
                <c:formatCode>_(* #,##0.0_);_(* \(#,##0.0\);_(* "-"??_);_(@_)</c:formatCode>
                <c:ptCount val="18"/>
                <c:pt idx="0">
                  <c:v>5</c:v>
                </c:pt>
                <c:pt idx="1">
                  <c:v>5</c:v>
                </c:pt>
                <c:pt idx="2">
                  <c:v>5</c:v>
                </c:pt>
                <c:pt idx="3">
                  <c:v>5</c:v>
                </c:pt>
                <c:pt idx="4">
                  <c:v>5</c:v>
                </c:pt>
                <c:pt idx="5">
                  <c:v>5</c:v>
                </c:pt>
                <c:pt idx="6">
                  <c:v>5</c:v>
                </c:pt>
                <c:pt idx="7">
                  <c:v>5</c:v>
                </c:pt>
                <c:pt idx="8">
                  <c:v>5</c:v>
                </c:pt>
                <c:pt idx="9">
                  <c:v>5</c:v>
                </c:pt>
                <c:pt idx="10">
                  <c:v>5</c:v>
                </c:pt>
                <c:pt idx="11">
                  <c:v>5</c:v>
                </c:pt>
                <c:pt idx="12">
                  <c:v>5</c:v>
                </c:pt>
                <c:pt idx="13">
                  <c:v>5</c:v>
                </c:pt>
                <c:pt idx="14">
                  <c:v>5</c:v>
                </c:pt>
                <c:pt idx="15">
                  <c:v>5</c:v>
                </c:pt>
                <c:pt idx="16">
                  <c:v>5</c:v>
                </c:pt>
                <c:pt idx="17">
                  <c:v>5</c:v>
                </c:pt>
              </c:numCache>
            </c:numRef>
          </c:val>
          <c:extLst>
            <c:ext xmlns:c16="http://schemas.microsoft.com/office/drawing/2014/chart" uri="{C3380CC4-5D6E-409C-BE32-E72D297353CC}">
              <c16:uniqueId val="{00000000-6BBB-304F-9289-F18D8885F3B5}"/>
            </c:ext>
          </c:extLst>
        </c:ser>
        <c:ser>
          <c:idx val="1"/>
          <c:order val="1"/>
          <c:tx>
            <c:strRef>
              <c:f>'Category Pivot Bar'!$C$3</c:f>
              <c:strCache>
                <c:ptCount val="1"/>
                <c:pt idx="0">
                  <c:v>Actual</c:v>
                </c:pt>
              </c:strCache>
            </c:strRef>
          </c:tx>
          <c:spPr>
            <a:solidFill>
              <a:srgbClr val="C1E5F5"/>
            </a:solidFill>
            <a:ln>
              <a:noFill/>
            </a:ln>
            <a:effectLst/>
          </c:spPr>
          <c:invertIfNegative val="0"/>
          <c:cat>
            <c:multiLvlStrRef>
              <c:f>'Category Pivot Bar'!$A$4:$A$28</c:f>
              <c:multiLvlStrCache>
                <c:ptCount val="18"/>
                <c:lvl>
                  <c:pt idx="0">
                    <c:v>GV.OC</c:v>
                  </c:pt>
                  <c:pt idx="1">
                    <c:v>GV.OV</c:v>
                  </c:pt>
                  <c:pt idx="2">
                    <c:v>GV.RM</c:v>
                  </c:pt>
                  <c:pt idx="3">
                    <c:v>GV.RR</c:v>
                  </c:pt>
                  <c:pt idx="4">
                    <c:v>GV.SC</c:v>
                  </c:pt>
                  <c:pt idx="5">
                    <c:v>ID.AM</c:v>
                  </c:pt>
                  <c:pt idx="6">
                    <c:v>ID.IM</c:v>
                  </c:pt>
                  <c:pt idx="7">
                    <c:v>ID.RA</c:v>
                  </c:pt>
                  <c:pt idx="8">
                    <c:v>PR.AA</c:v>
                  </c:pt>
                  <c:pt idx="9">
                    <c:v>PR.AT</c:v>
                  </c:pt>
                  <c:pt idx="10">
                    <c:v>PR.DS</c:v>
                  </c:pt>
                  <c:pt idx="11">
                    <c:v>PR.IR</c:v>
                  </c:pt>
                  <c:pt idx="12">
                    <c:v>PR.PS</c:v>
                  </c:pt>
                  <c:pt idx="13">
                    <c:v>DE.AE</c:v>
                  </c:pt>
                  <c:pt idx="14">
                    <c:v>DE.CM</c:v>
                  </c:pt>
                  <c:pt idx="15">
                    <c:v>RS.MA</c:v>
                  </c:pt>
                  <c:pt idx="16">
                    <c:v>RS.MI</c:v>
                  </c:pt>
                  <c:pt idx="17">
                    <c:v>RC.RP</c:v>
                  </c:pt>
                </c:lvl>
                <c:lvl>
                  <c:pt idx="0">
                    <c:v>GOVERN (GV)</c:v>
                  </c:pt>
                  <c:pt idx="5">
                    <c:v>IDENTIFY (ID)</c:v>
                  </c:pt>
                  <c:pt idx="8">
                    <c:v>PROTECT (PR)</c:v>
                  </c:pt>
                  <c:pt idx="13">
                    <c:v>DETECT (DE)</c:v>
                  </c:pt>
                  <c:pt idx="15">
                    <c:v>RESPOND (RS)</c:v>
                  </c:pt>
                  <c:pt idx="17">
                    <c:v>RECOVER (RC)</c:v>
                  </c:pt>
                </c:lvl>
              </c:multiLvlStrCache>
            </c:multiLvlStrRef>
          </c:cat>
          <c:val>
            <c:numRef>
              <c:f>'Category Pivot Bar'!$C$4:$C$28</c:f>
              <c:numCache>
                <c:formatCode>_(* #,##0.0_);_(* \(#,##0.0\);_(* "-"??_);_(@_)</c:formatCode>
                <c:ptCount val="18"/>
                <c:pt idx="0">
                  <c:v>6.25</c:v>
                </c:pt>
                <c:pt idx="1">
                  <c:v>6.5</c:v>
                </c:pt>
                <c:pt idx="2">
                  <c:v>6.5</c:v>
                </c:pt>
                <c:pt idx="3">
                  <c:v>6</c:v>
                </c:pt>
                <c:pt idx="4">
                  <c:v>5.916666666666667</c:v>
                </c:pt>
                <c:pt idx="5">
                  <c:v>3</c:v>
                </c:pt>
                <c:pt idx="6">
                  <c:v>3</c:v>
                </c:pt>
                <c:pt idx="7">
                  <c:v>4.666666666666667</c:v>
                </c:pt>
                <c:pt idx="8">
                  <c:v>5</c:v>
                </c:pt>
                <c:pt idx="9">
                  <c:v>5</c:v>
                </c:pt>
                <c:pt idx="10">
                  <c:v>4.5</c:v>
                </c:pt>
                <c:pt idx="11">
                  <c:v>4.5</c:v>
                </c:pt>
                <c:pt idx="12">
                  <c:v>4</c:v>
                </c:pt>
                <c:pt idx="13">
                  <c:v>4.5999999999999996</c:v>
                </c:pt>
                <c:pt idx="14">
                  <c:v>3.3333333333333335</c:v>
                </c:pt>
                <c:pt idx="15">
                  <c:v>3</c:v>
                </c:pt>
                <c:pt idx="16">
                  <c:v>4</c:v>
                </c:pt>
                <c:pt idx="17">
                  <c:v>3</c:v>
                </c:pt>
              </c:numCache>
            </c:numRef>
          </c:val>
          <c:extLst>
            <c:ext xmlns:c16="http://schemas.microsoft.com/office/drawing/2014/chart" uri="{C3380CC4-5D6E-409C-BE32-E72D297353CC}">
              <c16:uniqueId val="{00000001-6BBB-304F-9289-F18D8885F3B5}"/>
            </c:ext>
          </c:extLst>
        </c:ser>
        <c:dLbls>
          <c:showLegendKey val="0"/>
          <c:showVal val="0"/>
          <c:showCatName val="0"/>
          <c:showSerName val="0"/>
          <c:showPercent val="0"/>
          <c:showBubbleSize val="0"/>
        </c:dLbls>
        <c:gapWidth val="67"/>
        <c:overlap val="100"/>
        <c:axId val="1282267359"/>
        <c:axId val="1282115983"/>
      </c:barChart>
      <c:lineChart>
        <c:grouping val="standard"/>
        <c:varyColors val="0"/>
        <c:ser>
          <c:idx val="2"/>
          <c:order val="2"/>
          <c:tx>
            <c:strRef>
              <c:f>'Category Pivot Bar'!$D$3</c:f>
              <c:strCache>
                <c:ptCount val="1"/>
                <c:pt idx="0">
                  <c:v>Target</c:v>
                </c:pt>
              </c:strCache>
            </c:strRef>
          </c:tx>
          <c:spPr>
            <a:ln w="28575" cap="rnd">
              <a:solidFill>
                <a:schemeClr val="tx1"/>
              </a:solidFill>
              <a:prstDash val="sysDash"/>
              <a:round/>
            </a:ln>
            <a:effectLst/>
          </c:spPr>
          <c:marker>
            <c:symbol val="none"/>
          </c:marker>
          <c:cat>
            <c:multiLvlStrRef>
              <c:f>'Category Pivot Bar'!$A$4:$A$28</c:f>
              <c:multiLvlStrCache>
                <c:ptCount val="18"/>
                <c:lvl>
                  <c:pt idx="0">
                    <c:v>GV.OC</c:v>
                  </c:pt>
                  <c:pt idx="1">
                    <c:v>GV.OV</c:v>
                  </c:pt>
                  <c:pt idx="2">
                    <c:v>GV.RM</c:v>
                  </c:pt>
                  <c:pt idx="3">
                    <c:v>GV.RR</c:v>
                  </c:pt>
                  <c:pt idx="4">
                    <c:v>GV.SC</c:v>
                  </c:pt>
                  <c:pt idx="5">
                    <c:v>ID.AM</c:v>
                  </c:pt>
                  <c:pt idx="6">
                    <c:v>ID.IM</c:v>
                  </c:pt>
                  <c:pt idx="7">
                    <c:v>ID.RA</c:v>
                  </c:pt>
                  <c:pt idx="8">
                    <c:v>PR.AA</c:v>
                  </c:pt>
                  <c:pt idx="9">
                    <c:v>PR.AT</c:v>
                  </c:pt>
                  <c:pt idx="10">
                    <c:v>PR.DS</c:v>
                  </c:pt>
                  <c:pt idx="11">
                    <c:v>PR.IR</c:v>
                  </c:pt>
                  <c:pt idx="12">
                    <c:v>PR.PS</c:v>
                  </c:pt>
                  <c:pt idx="13">
                    <c:v>DE.AE</c:v>
                  </c:pt>
                  <c:pt idx="14">
                    <c:v>DE.CM</c:v>
                  </c:pt>
                  <c:pt idx="15">
                    <c:v>RS.MA</c:v>
                  </c:pt>
                  <c:pt idx="16">
                    <c:v>RS.MI</c:v>
                  </c:pt>
                  <c:pt idx="17">
                    <c:v>RC.RP</c:v>
                  </c:pt>
                </c:lvl>
                <c:lvl>
                  <c:pt idx="0">
                    <c:v>GOVERN (GV)</c:v>
                  </c:pt>
                  <c:pt idx="5">
                    <c:v>IDENTIFY (ID)</c:v>
                  </c:pt>
                  <c:pt idx="8">
                    <c:v>PROTECT (PR)</c:v>
                  </c:pt>
                  <c:pt idx="13">
                    <c:v>DETECT (DE)</c:v>
                  </c:pt>
                  <c:pt idx="15">
                    <c:v>RESPOND (RS)</c:v>
                  </c:pt>
                  <c:pt idx="17">
                    <c:v>RECOVER (RC)</c:v>
                  </c:pt>
                </c:lvl>
              </c:multiLvlStrCache>
            </c:multiLvlStrRef>
          </c:cat>
          <c:val>
            <c:numRef>
              <c:f>'Category Pivot Bar'!$D$4:$D$28</c:f>
              <c:numCache>
                <c:formatCode>_(* #,##0.0_);_(* \(#,##0.0\);_(* "-"??_);_(@_)</c:formatCode>
                <c:ptCount val="18"/>
                <c:pt idx="0">
                  <c:v>5</c:v>
                </c:pt>
                <c:pt idx="1">
                  <c:v>5</c:v>
                </c:pt>
                <c:pt idx="2">
                  <c:v>5</c:v>
                </c:pt>
                <c:pt idx="3">
                  <c:v>5</c:v>
                </c:pt>
                <c:pt idx="4">
                  <c:v>5</c:v>
                </c:pt>
                <c:pt idx="5">
                  <c:v>5</c:v>
                </c:pt>
                <c:pt idx="6">
                  <c:v>5</c:v>
                </c:pt>
                <c:pt idx="7">
                  <c:v>5</c:v>
                </c:pt>
                <c:pt idx="8">
                  <c:v>5</c:v>
                </c:pt>
                <c:pt idx="9">
                  <c:v>5</c:v>
                </c:pt>
                <c:pt idx="10">
                  <c:v>5</c:v>
                </c:pt>
                <c:pt idx="11">
                  <c:v>5</c:v>
                </c:pt>
                <c:pt idx="12">
                  <c:v>5</c:v>
                </c:pt>
                <c:pt idx="13">
                  <c:v>5</c:v>
                </c:pt>
                <c:pt idx="14">
                  <c:v>5</c:v>
                </c:pt>
                <c:pt idx="15">
                  <c:v>5</c:v>
                </c:pt>
                <c:pt idx="16">
                  <c:v>5</c:v>
                </c:pt>
                <c:pt idx="17">
                  <c:v>5</c:v>
                </c:pt>
              </c:numCache>
            </c:numRef>
          </c:val>
          <c:smooth val="0"/>
          <c:extLst>
            <c:ext xmlns:c16="http://schemas.microsoft.com/office/drawing/2014/chart" uri="{C3380CC4-5D6E-409C-BE32-E72D297353CC}">
              <c16:uniqueId val="{00000003-6BBB-304F-9289-F18D8885F3B5}"/>
            </c:ext>
          </c:extLst>
        </c:ser>
        <c:dLbls>
          <c:showLegendKey val="0"/>
          <c:showVal val="0"/>
          <c:showCatName val="0"/>
          <c:showSerName val="0"/>
          <c:showPercent val="0"/>
          <c:showBubbleSize val="0"/>
        </c:dLbls>
        <c:marker val="1"/>
        <c:smooth val="0"/>
        <c:axId val="1282267359"/>
        <c:axId val="1282115983"/>
      </c:lineChart>
      <c:catAx>
        <c:axId val="12822673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1282115983"/>
        <c:crosses val="autoZero"/>
        <c:auto val="1"/>
        <c:lblAlgn val="ctr"/>
        <c:lblOffset val="100"/>
        <c:noMultiLvlLbl val="0"/>
      </c:catAx>
      <c:valAx>
        <c:axId val="1282115983"/>
        <c:scaling>
          <c:orientation val="minMax"/>
        </c:scaling>
        <c:delete val="0"/>
        <c:axPos val="l"/>
        <c:majorGridlines>
          <c:spPr>
            <a:ln w="9525" cap="flat" cmpd="sng" algn="ctr">
              <a:solidFill>
                <a:schemeClr val="tx1">
                  <a:lumMod val="15000"/>
                  <a:lumOff val="85000"/>
                </a:schemeClr>
              </a:solidFill>
              <a:round/>
            </a:ln>
            <a:effectLst/>
          </c:spPr>
        </c:majorGridlines>
        <c:numFmt formatCode="_(* #,##0.0_);_(* \(#,##0.0\);_(* &quot;-&quot;??_);_(@_)"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1282267359"/>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academy.simplycyber.io/p/accrp" TargetMode="External"/></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0</xdr:col>
      <xdr:colOff>194734</xdr:colOff>
      <xdr:row>6</xdr:row>
      <xdr:rowOff>59267</xdr:rowOff>
    </xdr:from>
    <xdr:to>
      <xdr:col>2</xdr:col>
      <xdr:colOff>2870201</xdr:colOff>
      <xdr:row>25</xdr:row>
      <xdr:rowOff>50800</xdr:rowOff>
    </xdr:to>
    <xdr:sp macro="" textlink="">
      <xdr:nvSpPr>
        <xdr:cNvPr id="2" name="TextBox 1">
          <a:hlinkClick xmlns:r="http://schemas.openxmlformats.org/officeDocument/2006/relationships" r:id="rId1"/>
          <a:extLst>
            <a:ext uri="{FF2B5EF4-FFF2-40B4-BE49-F238E27FC236}">
              <a16:creationId xmlns:a16="http://schemas.microsoft.com/office/drawing/2014/main" id="{F156CC04-2CB3-1E45-AE45-8479FD1B1ED2}"/>
            </a:ext>
          </a:extLst>
        </xdr:cNvPr>
        <xdr:cNvSpPr txBox="1"/>
      </xdr:nvSpPr>
      <xdr:spPr>
        <a:xfrm>
          <a:off x="194734" y="1202267"/>
          <a:ext cx="6942667" cy="372533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rtl="0"/>
          <a:r>
            <a:rPr lang="en-CA" sz="1800" b="1" i="0" u="none" strike="noStrike">
              <a:solidFill>
                <a:schemeClr val="dk1"/>
              </a:solidFill>
              <a:effectLst/>
              <a:latin typeface="+mn-lt"/>
              <a:ea typeface="+mn-ea"/>
              <a:cs typeface="+mn-cs"/>
            </a:rPr>
            <a:t>CSF Profile Assessment Workbook</a:t>
          </a:r>
        </a:p>
        <a:p>
          <a:pPr rtl="0"/>
          <a:endParaRPr lang="en-CA" sz="1100" b="0" i="0" u="none" strike="noStrike">
            <a:solidFill>
              <a:schemeClr val="dk1"/>
            </a:solidFill>
            <a:effectLst/>
            <a:latin typeface="+mn-lt"/>
            <a:ea typeface="+mn-ea"/>
            <a:cs typeface="+mn-cs"/>
          </a:endParaRPr>
        </a:p>
        <a:p>
          <a:pPr rtl="0"/>
          <a:r>
            <a:rPr lang="en-CA" sz="1100" b="0" i="0" u="none" strike="noStrike">
              <a:solidFill>
                <a:schemeClr val="dk1"/>
              </a:solidFill>
              <a:effectLst/>
              <a:latin typeface="+mn-lt"/>
              <a:ea typeface="+mn-ea"/>
              <a:cs typeface="+mn-cs"/>
            </a:rPr>
            <a:t>This Excel workbook is used by Steve McMichael, CCRP, to assist in performing Cybersecurity Framework (CSF) Profile Assessments.  This is in the language and thought process of Steve McMichael.</a:t>
          </a:r>
          <a:r>
            <a:rPr lang="en-CA" sz="1100" b="0" i="0" u="none" strike="noStrike" baseline="0">
              <a:solidFill>
                <a:schemeClr val="dk1"/>
              </a:solidFill>
              <a:effectLst/>
              <a:latin typeface="+mn-lt"/>
              <a:ea typeface="+mn-ea"/>
              <a:cs typeface="+mn-cs"/>
            </a:rPr>
            <a:t>  </a:t>
          </a:r>
          <a:r>
            <a:rPr lang="en-CA" sz="1100" b="0" i="0" u="none" strike="noStrike">
              <a:solidFill>
                <a:schemeClr val="dk1"/>
              </a:solidFill>
              <a:effectLst/>
              <a:latin typeface="+mn-lt"/>
              <a:ea typeface="+mn-ea"/>
              <a:cs typeface="+mn-cs"/>
            </a:rPr>
            <a:t>There are no assurances that this workbook is comprehensive or complete and that executing it alone will provide full coverage over an organization and the discovery of cyber risk within it. All organizations are not the same and some CSF outcomes that are skipped/not developed do not indicate they are not valid.</a:t>
          </a:r>
          <a:br>
            <a:rPr lang="en-CA" sz="1100" b="0" i="0" u="none" strike="noStrike">
              <a:solidFill>
                <a:schemeClr val="dk1"/>
              </a:solidFill>
              <a:effectLst/>
              <a:latin typeface="+mn-lt"/>
              <a:ea typeface="+mn-ea"/>
              <a:cs typeface="+mn-cs"/>
            </a:rPr>
          </a:br>
          <a:endParaRPr lang="en-CA" b="0">
            <a:effectLst/>
          </a:endParaRPr>
        </a:p>
        <a:p>
          <a:pPr rtl="0"/>
          <a:r>
            <a:rPr lang="en-CA" sz="1100" b="0" i="0" u="none" strike="noStrike">
              <a:solidFill>
                <a:schemeClr val="dk1"/>
              </a:solidFill>
              <a:effectLst/>
              <a:latin typeface="+mn-lt"/>
              <a:ea typeface="+mn-ea"/>
              <a:cs typeface="+mn-cs"/>
            </a:rPr>
            <a:t>Cybersecurity outcomes can be audited and assessed multiple ways and the approaches contained herein are not exclusive to identifying if a control is in place or absent.</a:t>
          </a:r>
          <a:br>
            <a:rPr lang="en-CA" sz="1100" b="0" i="0" u="none" strike="noStrike">
              <a:solidFill>
                <a:schemeClr val="dk1"/>
              </a:solidFill>
              <a:effectLst/>
              <a:latin typeface="+mn-lt"/>
              <a:ea typeface="+mn-ea"/>
              <a:cs typeface="+mn-cs"/>
            </a:rPr>
          </a:br>
          <a:endParaRPr lang="en-CA" b="0">
            <a:effectLst/>
          </a:endParaRPr>
        </a:p>
        <a:p>
          <a:pPr rtl="0"/>
          <a:r>
            <a:rPr lang="en-CA" sz="1100" b="0" i="0" u="none" strike="noStrike">
              <a:solidFill>
                <a:schemeClr val="dk1"/>
              </a:solidFill>
              <a:effectLst/>
              <a:latin typeface="+mn-lt"/>
              <a:ea typeface="+mn-ea"/>
              <a:cs typeface="+mn-cs"/>
            </a:rPr>
            <a:t>It is an excellent start to developing cybersecurity</a:t>
          </a:r>
          <a:r>
            <a:rPr lang="en-CA" sz="1100" b="0" i="0" u="none" strike="noStrike" baseline="0">
              <a:solidFill>
                <a:schemeClr val="dk1"/>
              </a:solidFill>
              <a:effectLst/>
              <a:latin typeface="+mn-lt"/>
              <a:ea typeface="+mn-ea"/>
              <a:cs typeface="+mn-cs"/>
            </a:rPr>
            <a:t> scorecards to communicate about cyber risk in organizations. </a:t>
          </a:r>
          <a:br>
            <a:rPr lang="en-CA" sz="1100" b="0" i="0" u="none" strike="noStrike" baseline="0">
              <a:solidFill>
                <a:schemeClr val="dk1"/>
              </a:solidFill>
              <a:effectLst/>
              <a:latin typeface="+mn-lt"/>
              <a:ea typeface="+mn-ea"/>
              <a:cs typeface="+mn-cs"/>
            </a:rPr>
          </a:br>
          <a:endParaRPr lang="en-CA" sz="1100" b="0" i="0" u="none" strike="noStrike" baseline="0">
            <a:solidFill>
              <a:schemeClr val="dk1"/>
            </a:solidFill>
            <a:effectLst/>
            <a:latin typeface="+mn-lt"/>
            <a:ea typeface="+mn-ea"/>
            <a:cs typeface="+mn-cs"/>
          </a:endParaRPr>
        </a:p>
        <a:p>
          <a:pPr rtl="0"/>
          <a:r>
            <a:rPr lang="en-CA" sz="1100" b="0" i="0" u="none" strike="noStrike" baseline="0">
              <a:solidFill>
                <a:schemeClr val="dk1"/>
              </a:solidFill>
              <a:effectLst/>
              <a:latin typeface="+mn-lt"/>
              <a:ea typeface="+mn-ea"/>
              <a:cs typeface="+mn-cs"/>
            </a:rPr>
            <a:t>The course this document is associated with is:</a:t>
          </a:r>
        </a:p>
        <a:p>
          <a:pPr rtl="0"/>
          <a:r>
            <a:rPr lang="en-CA" sz="1100" b="0" i="0" u="none" strike="noStrike" baseline="0">
              <a:solidFill>
                <a:schemeClr val="dk1"/>
              </a:solidFill>
              <a:effectLst/>
              <a:latin typeface="+mn-lt"/>
              <a:ea typeface="+mn-ea"/>
              <a:cs typeface="+mn-cs"/>
            </a:rPr>
            <a:t>https://academy.simplycyber.io/p/accrp   </a:t>
          </a:r>
        </a:p>
        <a:p>
          <a:pPr rtl="0"/>
          <a:endParaRPr lang="en-CA" sz="1100" b="0" i="0" u="none" strike="noStrike" baseline="0">
            <a:solidFill>
              <a:schemeClr val="dk1"/>
            </a:solidFill>
            <a:effectLst/>
            <a:latin typeface="+mn-lt"/>
            <a:ea typeface="+mn-ea"/>
            <a:cs typeface="+mn-cs"/>
          </a:endParaRPr>
        </a:p>
        <a:p>
          <a:pPr rtl="0"/>
          <a:r>
            <a:rPr lang="en-CA" sz="1100" b="0" i="0" u="none" strike="noStrike" baseline="0">
              <a:solidFill>
                <a:schemeClr val="dk1"/>
              </a:solidFill>
              <a:effectLst/>
              <a:latin typeface="+mn-lt"/>
              <a:ea typeface="+mn-ea"/>
              <a:cs typeface="+mn-cs"/>
            </a:rPr>
            <a:t>This workbook is formatted for Excel and works best there, but is also compatible with Google Sheets.</a:t>
          </a:r>
        </a:p>
      </xdr:txBody>
    </xdr:sp>
    <xdr:clientData/>
  </xdr:twoCellAnchor>
  <xdr:twoCellAnchor editAs="oneCell">
    <xdr:from>
      <xdr:col>1</xdr:col>
      <xdr:colOff>1346200</xdr:colOff>
      <xdr:row>0</xdr:row>
      <xdr:rowOff>127001</xdr:rowOff>
    </xdr:from>
    <xdr:to>
      <xdr:col>2</xdr:col>
      <xdr:colOff>321733</xdr:colOff>
      <xdr:row>5</xdr:row>
      <xdr:rowOff>114301</xdr:rowOff>
    </xdr:to>
    <xdr:pic>
      <xdr:nvPicPr>
        <xdr:cNvPr id="3" name="Picture 2">
          <a:extLst>
            <a:ext uri="{FF2B5EF4-FFF2-40B4-BE49-F238E27FC236}">
              <a16:creationId xmlns:a16="http://schemas.microsoft.com/office/drawing/2014/main" id="{A7AE9352-75A3-E348-A97F-47569F3AA988}"/>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705100" y="127001"/>
          <a:ext cx="1883833" cy="9398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4</xdr:col>
      <xdr:colOff>622300</xdr:colOff>
      <xdr:row>2</xdr:row>
      <xdr:rowOff>241300</xdr:rowOff>
    </xdr:from>
    <xdr:to>
      <xdr:col>15</xdr:col>
      <xdr:colOff>190500</xdr:colOff>
      <xdr:row>20</xdr:row>
      <xdr:rowOff>112797</xdr:rowOff>
    </xdr:to>
    <xdr:graphicFrame macro="">
      <xdr:nvGraphicFramePr>
        <xdr:cNvPr id="4" name="Chart 3">
          <a:extLst>
            <a:ext uri="{FF2B5EF4-FFF2-40B4-BE49-F238E27FC236}">
              <a16:creationId xmlns:a16="http://schemas.microsoft.com/office/drawing/2014/main" id="{C754CF25-5BBB-0543-8DAC-489B217EC0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417789</xdr:colOff>
      <xdr:row>3</xdr:row>
      <xdr:rowOff>54298</xdr:rowOff>
    </xdr:from>
    <xdr:to>
      <xdr:col>29</xdr:col>
      <xdr:colOff>19465</xdr:colOff>
      <xdr:row>32</xdr:row>
      <xdr:rowOff>79375</xdr:rowOff>
    </xdr:to>
    <xdr:graphicFrame macro="">
      <xdr:nvGraphicFramePr>
        <xdr:cNvPr id="2" name="Chart 1">
          <a:extLst>
            <a:ext uri="{FF2B5EF4-FFF2-40B4-BE49-F238E27FC236}">
              <a16:creationId xmlns:a16="http://schemas.microsoft.com/office/drawing/2014/main" id="{01775888-307F-EE45-BFCB-FFF97C20F0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577365</xdr:colOff>
      <xdr:row>2</xdr:row>
      <xdr:rowOff>132922</xdr:rowOff>
    </xdr:from>
    <xdr:to>
      <xdr:col>30</xdr:col>
      <xdr:colOff>345564</xdr:colOff>
      <xdr:row>25</xdr:row>
      <xdr:rowOff>110283</xdr:rowOff>
    </xdr:to>
    <xdr:graphicFrame macro="">
      <xdr:nvGraphicFramePr>
        <xdr:cNvPr id="3" name="Chart 2">
          <a:extLst>
            <a:ext uri="{FF2B5EF4-FFF2-40B4-BE49-F238E27FC236}">
              <a16:creationId xmlns:a16="http://schemas.microsoft.com/office/drawing/2014/main" id="{E4A989B6-A0B2-948C-1281-9D8091D5B0A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teve" refreshedDate="45998.387321180555" createdVersion="8" refreshedVersion="8" minRefreshableVersion="3" recordCount="362" xr:uid="{50FCF919-E01A-124D-BE97-8E65654D4FBD}">
  <cacheSource type="worksheet">
    <worksheetSource name="tbl_CSF_Profile"/>
  </cacheSource>
  <cacheFields count="53">
    <cacheField name="ID" numFmtId="0">
      <sharedItems/>
    </cacheField>
    <cacheField name="Function" numFmtId="0">
      <sharedItems count="6">
        <s v="GOVERN (GV)"/>
        <s v="IDENTIFY (ID)"/>
        <s v="PROTECT (PR)"/>
        <s v="RESPOND (RS)"/>
        <s v="DETECT (DE)"/>
        <s v="RECOVER (RC)"/>
      </sharedItems>
    </cacheField>
    <cacheField name="Function Description" numFmtId="0">
      <sharedItems/>
    </cacheField>
    <cacheField name="Category ID" numFmtId="0">
      <sharedItems count="22">
        <s v="GV.SC"/>
        <s v="GV.OC"/>
        <s v="GV.RR"/>
        <s v="GV.OV"/>
        <s v="GV.RM"/>
        <s v="ID.RA"/>
        <s v="PR.AT"/>
        <s v="PR.IR"/>
        <s v="RS.MI"/>
        <s v="DE.AE"/>
        <s v="DE.CM"/>
        <s v="PR.DS"/>
        <s v="PR.PS"/>
        <s v="RC.RP"/>
        <s v="ID.AM"/>
        <s v="ID.IM"/>
        <s v="RS.MA"/>
        <s v="PR.AA"/>
        <s v="GV.PO"/>
        <s v="RC.CO"/>
        <s v="RS.AN"/>
        <s v="RS.CO"/>
      </sharedItems>
    </cacheField>
    <cacheField name="Category" numFmtId="0">
      <sharedItems/>
    </cacheField>
    <cacheField name="Category Description" numFmtId="0">
      <sharedItems longText="1"/>
    </cacheField>
    <cacheField name="Subcategory ID" numFmtId="0">
      <sharedItems/>
    </cacheField>
    <cacheField name="Subcategory Description" numFmtId="0">
      <sharedItems/>
    </cacheField>
    <cacheField name="Implementation Example" numFmtId="0">
      <sharedItems longText="1"/>
    </cacheField>
    <cacheField name="Implementation Description" numFmtId="0">
      <sharedItems longText="1"/>
    </cacheField>
    <cacheField name="In Scope? " numFmtId="0">
      <sharedItems count="2">
        <s v="Yes"/>
        <s v="No"/>
      </sharedItems>
    </cacheField>
    <cacheField name="Owner" numFmtId="0">
      <sharedItems containsBlank="1"/>
    </cacheField>
    <cacheField name="Stakeholder(s)" numFmtId="0">
      <sharedItems containsBlank="1"/>
    </cacheField>
    <cacheField name="Auditor" numFmtId="0">
      <sharedItems containsBlank="1"/>
    </cacheField>
    <cacheField name="NIST 800-53 Control Ref" numFmtId="0">
      <sharedItems/>
    </cacheField>
    <cacheField name="Test Procedure(s)" numFmtId="0">
      <sharedItems containsBlank="1"/>
    </cacheField>
    <cacheField name="Q1 Actual Score" numFmtId="0">
      <sharedItems containsSemiMixedTypes="0" containsString="0" containsNumber="1" minValue="0" maxValue="6"/>
    </cacheField>
    <cacheField name="Q1 Target Score" numFmtId="0">
      <sharedItems containsSemiMixedTypes="0" containsString="0" containsNumber="1" containsInteger="1" minValue="0" maxValue="5"/>
    </cacheField>
    <cacheField name="Q1 Observations" numFmtId="0">
      <sharedItems containsBlank="1"/>
    </cacheField>
    <cacheField name="Q1 Observation Date" numFmtId="0">
      <sharedItems containsNonDate="0" containsDate="1" containsString="0" containsBlank="1" minDate="2025-01-10T00:00:00" maxDate="2025-02-17T00:00:00"/>
    </cacheField>
    <cacheField name="Q1 Testing Status" numFmtId="0">
      <sharedItems/>
    </cacheField>
    <cacheField name="Q1 Examine" numFmtId="0">
      <sharedItems/>
    </cacheField>
    <cacheField name="Q1 Interview" numFmtId="0">
      <sharedItems/>
    </cacheField>
    <cacheField name="Q1 Test" numFmtId="0">
      <sharedItems/>
    </cacheField>
    <cacheField name="Q2 Actual Score" numFmtId="0">
      <sharedItems containsSemiMixedTypes="0" containsString="0" containsNumber="1" minValue="0" maxValue="6.5"/>
    </cacheField>
    <cacheField name="Q2 Target Score" numFmtId="0">
      <sharedItems containsSemiMixedTypes="0" containsString="0" containsNumber="1" containsInteger="1" minValue="0" maxValue="5"/>
    </cacheField>
    <cacheField name="Q2 Observations" numFmtId="0">
      <sharedItems containsBlank="1"/>
    </cacheField>
    <cacheField name="Q2 Observation Date" numFmtId="0">
      <sharedItems containsNonDate="0" containsDate="1" containsString="0" containsBlank="1" minDate="2025-04-05T00:00:00" maxDate="2025-05-13T00:00:00"/>
    </cacheField>
    <cacheField name="Q2 Testing Status" numFmtId="0">
      <sharedItems/>
    </cacheField>
    <cacheField name="Q2 Examine" numFmtId="0">
      <sharedItems/>
    </cacheField>
    <cacheField name="Q2 Interview" numFmtId="0">
      <sharedItems/>
    </cacheField>
    <cacheField name="Q2 Test" numFmtId="0">
      <sharedItems/>
    </cacheField>
    <cacheField name="Q3 Actual Score" numFmtId="0">
      <sharedItems containsSemiMixedTypes="0" containsString="0" containsNumber="1" minValue="0" maxValue="7"/>
    </cacheField>
    <cacheField name="Q3 Target Score" numFmtId="0">
      <sharedItems containsSemiMixedTypes="0" containsString="0" containsNumber="1" containsInteger="1" minValue="0" maxValue="5"/>
    </cacheField>
    <cacheField name="Q3 Observations" numFmtId="0">
      <sharedItems containsNonDate="0" containsString="0" containsBlank="1"/>
    </cacheField>
    <cacheField name="Q3 Observation Date" numFmtId="0">
      <sharedItems containsNonDate="0" containsDate="1" containsString="0" containsBlank="1" minDate="2025-06-01T00:00:00" maxDate="2025-06-27T00:00:00"/>
    </cacheField>
    <cacheField name="Q3 Testing Status" numFmtId="0">
      <sharedItems/>
    </cacheField>
    <cacheField name="Q3 Examine" numFmtId="0">
      <sharedItems/>
    </cacheField>
    <cacheField name="Q3 Interview" numFmtId="0">
      <sharedItems/>
    </cacheField>
    <cacheField name="Q3 Test" numFmtId="0">
      <sharedItems/>
    </cacheField>
    <cacheField name="Q4 Actual Score" numFmtId="0">
      <sharedItems containsSemiMixedTypes="0" containsString="0" containsNumber="1" minValue="0" maxValue="7"/>
    </cacheField>
    <cacheField name="Q4 Target Score" numFmtId="0">
      <sharedItems containsSemiMixedTypes="0" containsString="0" containsNumber="1" containsInteger="1" minValue="0" maxValue="5"/>
    </cacheField>
    <cacheField name="Q4 Observations" numFmtId="0">
      <sharedItems containsNonDate="0" containsString="0" containsBlank="1"/>
    </cacheField>
    <cacheField name="Q4 Observation Date" numFmtId="0">
      <sharedItems containsNonDate="0" containsString="0" containsBlank="1"/>
    </cacheField>
    <cacheField name="Q4 Testing Status" numFmtId="0">
      <sharedItems/>
    </cacheField>
    <cacheField name="Q4 Examine" numFmtId="0">
      <sharedItems/>
    </cacheField>
    <cacheField name="Q4 Interview" numFmtId="0">
      <sharedItems/>
    </cacheField>
    <cacheField name="Q4 Test" numFmtId="0">
      <sharedItems/>
    </cacheField>
    <cacheField name="Remediation Owner" numFmtId="0">
      <sharedItems containsBlank="1"/>
    </cacheField>
    <cacheField name="Remediation Due Date" numFmtId="0">
      <sharedItems containsNonDate="0" containsDate="1" containsString="0" containsBlank="1" minDate="2026-08-15T00:00:00" maxDate="2026-11-01T00:00:00"/>
    </cacheField>
    <cacheField name="Minimum Target" numFmtId="0">
      <sharedItems containsSemiMixedTypes="0" containsString="0" containsNumber="1" containsInteger="1" minValue="0" maxValue="5"/>
    </cacheField>
    <cacheField name="Action Plan" numFmtId="0">
      <sharedItems containsBlank="1"/>
    </cacheField>
    <cacheField name="Artifact Name"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2">
  <r>
    <s v="GV.SC-04 Ex1"/>
    <x v="0"/>
    <s v="The organization's cybersecurity risk management strategy, expectations, and policy are established, communicated, and monitored"/>
    <x v="0"/>
    <s v="Cybersecurity Supply Chain Risk Management (GV.SC)"/>
    <s v="Cyber supply chain risk management processes are identified, established, managed, monitored, and improved by organizational stakeholders"/>
    <s v="GV.SC-04"/>
    <s v="Suppliers are known and prioritized by criticality"/>
    <s v="Ex1: Develop criteria for supplier criticality based on, for example, the sensitivity of data processed or possessed by suppliers, the degree of access to the organization's systems, and the importance of the products or services to the organization's mission"/>
    <s v="Alma Security maintains a supplier inventory in ServiceNow with criticality ratings based on three factors: _x000a_- (1) sensitivity of data processed (with biometric data suppliers rated highest), _x000a_- (2) degree of system access granted, and _x000a_- (3) importance to the continuous authentication mission. The Third Party Risk Management Policy defines tiering criteria and requires quarterly reviews with CISO and Procurement sign-off."/>
    <x v="0"/>
    <s v="gerry &lt;gerry@almasecurity.com&gt;"/>
    <s v="jane &lt;jane@almasecurity.com&gt;; john &lt;john@almasecurity.com&gt;"/>
    <s v="steve &lt;steve@almasecurity.com&gt;"/>
    <s v="RA-09,SA-09,SR-06"/>
    <m/>
    <n v="5"/>
    <n v="5"/>
    <s v="Supplier criticality criteria fully developed and approved. Third Party Risk Management Policy implemented. All critical suppliers identified and ranked by data sensitivity, system access level, and mission importance."/>
    <d v="2025-01-10T00:00:00"/>
    <s v="Complete"/>
    <s v="Yes"/>
    <s v="Yes"/>
    <s v="Yes"/>
    <n v="6.5"/>
    <n v="5"/>
    <s v="Criticality framework operationalized with ServiceNow integration. Automated supplier risk scoring deployed. Quarterly reviews of supplier criticality ratings conducted with stakeholder sign-off."/>
    <d v="2025-04-05T00:00:00"/>
    <s v="Complete"/>
    <s v="Yes"/>
    <s v="Yes"/>
    <s v="Yes"/>
    <n v="6.5"/>
    <n v="5"/>
    <m/>
    <d v="2025-06-01T00:00:00"/>
    <s v="In Progress"/>
    <s v="No"/>
    <s v="Yes"/>
    <s v="No"/>
    <n v="6.5"/>
    <n v="5"/>
    <m/>
    <m/>
    <s v="Not Started"/>
    <s v="No"/>
    <s v="No"/>
    <s v="No"/>
    <m/>
    <m/>
    <n v="5"/>
    <m/>
    <s v="Third Party Risk Management Policy"/>
  </r>
  <r>
    <s v="GV.OC-01 Ex1"/>
    <x v="0"/>
    <s v="The organization's cybersecurity risk management strategy, expectations, and policy are established, communicated, and monitored"/>
    <x v="1"/>
    <s v="Organizational Context (GV.OC)"/>
    <s v="The circumstances - mission, stakeholder expectations, dependencies, and legal, regulatory, and contractual requirements - surrounding the organization's cybersecurity risk management decisions are understood"/>
    <s v="GV.OC-01"/>
    <s v="The organizational mission is understood and informs cybersecurity risk management"/>
    <s v="Ex1: Share the organization's mission (e.g., through vision and mission statements, marketing, and service strategies) to provide a basis for identifying risks that may impede that mission"/>
    <s v="Alma Security's mission &quot;to ensure businesses can continuously authenticate their users using their whole selves&quot; is documented on the company website and communicated through quarterly Board briefings and monthly management meetings. Security investments and risk appetite decisions are explicitly tied to mission objectives, including strategic partnerships like the Apple Passkey integration (G8)."/>
    <x v="0"/>
    <s v="gerry &lt;gerry@almasecurity.com&gt;"/>
    <s v="jane &lt;jane@almasecurity.com&gt;; john &lt;john@almasecurity.com&gt;"/>
    <s v="steve &lt;steve@almasecurity.com&gt;"/>
    <s v="PM-11"/>
    <s v="1. Inquiry: CEO, CISO_x000a_2. Inspect Website_x000a_3. Inspect quarterly Board agenda, slides and minutes_x000a_4. Inspect monthly management agenda, slides and minutes"/>
    <n v="5"/>
    <n v="5"/>
    <s v="Mission &quot;Ensure businesses can continuously authenticate users using their whole selves&quot; documented and communicated organization-wide. Mission directly informs risk appetite and security investment decisions."/>
    <d v="2025-01-11T00:00:00"/>
    <s v="Complete"/>
    <s v="Yes"/>
    <s v="Yes"/>
    <s v="No"/>
    <n v="6"/>
    <n v="5"/>
    <s v="Mission-aligned risk management fully operational. Board receives quarterly security posture updates tied to mission objectives. Apple Passkey partnership risk assessment completed supporting G8 goal."/>
    <d v="2025-04-06T00:00:00"/>
    <s v="Complete"/>
    <s v="No"/>
    <s v="Yes"/>
    <s v="Yes"/>
    <n v="6"/>
    <n v="5"/>
    <m/>
    <d v="2025-06-02T00:00:00"/>
    <s v="In Progress"/>
    <s v="No"/>
    <s v="Yes"/>
    <s v="No"/>
    <n v="6"/>
    <n v="5"/>
    <m/>
    <m/>
    <s v="Not Started"/>
    <s v="No"/>
    <s v="No"/>
    <s v="No"/>
    <m/>
    <m/>
    <n v="5"/>
    <m/>
    <m/>
  </r>
  <r>
    <s v="GV.RR-02 Ex1"/>
    <x v="0"/>
    <s v="The organization's cybersecurity risk management strategy, expectations, and policy are established, communicated, and monitored"/>
    <x v="2"/>
    <s v="Roles, Responsibilities, and Authorities (GV.RR)"/>
    <s v="Cybersecurity roles, responsibilities, and authorities to foster accountability, performance assessment, and continuous improvement are established and communicated"/>
    <s v="GV.RR-02"/>
    <s v="Roles, responsibilities, and authorities related to cybersecurity risk management are established, communicated, understood, and enforced"/>
    <s v="Ex1: Document risk management roles and responsibilities in policy"/>
    <s v="Cybersecurity roles are documented in the Information Security Policy and RACI matrix. The security team structure includes: Nadia Khan (Detection &amp; Response Lead), Chris Magann (Vulnerability Management Lead), and Tigan Wang (Vulnerability Management). The CISO reports directly to the CEO with quarterly Board reporting. Risk management authorities are defined for each role with escalation paths."/>
    <x v="0"/>
    <s v="gerry &lt;gerry@almasecurity.com&gt;"/>
    <s v="jane &lt;jane@almasecurity.com&gt;; john &lt;john@almasecurity.com&gt;"/>
    <s v="steve &lt;steve@almasecurity.com&gt;"/>
    <s v="PM-02,PM-13,PM-19,PM-23,PM-24,PM-29"/>
    <s v="1. Inquiry: CISO, 2. Inspect cybersecurity policy, 3. Inspect RACI matrix"/>
    <n v="5"/>
    <n v="5"/>
    <s v="RACI matrix completed and communicated. Security team roles clearly defined: Nadia Khan (D&amp;R Lead), Chris Magann (VM Lead), Tigan Wang (VM). Risk management authorities documented in policy."/>
    <d v="2025-01-12T00:00:00"/>
    <s v="Complete"/>
    <s v="Yes"/>
    <s v="Yes"/>
    <s v="No"/>
    <n v="6"/>
    <n v="5"/>
    <s v="Roles enforced through formal governance process. Team expanded per STS1 hiring strategy. Cross-functional coordination meetings established with IT, Legal, and Product teams."/>
    <d v="2025-04-07T00:00:00"/>
    <s v="Complete"/>
    <s v="Yes"/>
    <s v="Yes"/>
    <s v="No"/>
    <n v="6"/>
    <n v="5"/>
    <m/>
    <d v="2025-06-03T00:00:00"/>
    <s v="In Progress"/>
    <s v="No"/>
    <s v="Yes"/>
    <s v="No"/>
    <n v="6"/>
    <n v="5"/>
    <m/>
    <m/>
    <s v="Not Started"/>
    <s v="No"/>
    <s v="No"/>
    <s v="No"/>
    <m/>
    <m/>
    <n v="5"/>
    <m/>
    <m/>
  </r>
  <r>
    <s v="GV.OC-02 Ex1"/>
    <x v="0"/>
    <s v="The organization's cybersecurity risk management strategy, expectations, and policy are established, communicated, and monitored"/>
    <x v="1"/>
    <s v="Organizational Context (GV.OC)"/>
    <s v="The circumstances - mission, stakeholder expectations, dependencies, and legal, regulatory, and contractual requirements - surrounding the organization's cybersecurity risk management decisions are understood"/>
    <s v="GV.OC-02"/>
    <s v="Internal and external stakeholders are understood, and their needs and expectations regarding cybersecurity risk management are understood and considered"/>
    <s v="Ex1: Identify relevant internal stakeholders and their cybersecurity-related expectations (e.g., performance and risk expectations of officers, directors, and advisors; cultural expectations of employees)"/>
    <s v="Alma Security identifies stakeholder expectations through: _x000a_- (1) quarterly Board meetings capturing director expectations, _x000a_- (2) monthly executive meetings for officer input, _x000a_- (3) employee training feedback via Workday, and _x000a_- (4) customer trust surveys following the 2022 security events. Expectations are documented in the security service catalog and inform the public trust rebuilding program."/>
    <x v="0"/>
    <s v="gerry &lt;gerry@almasecurity.com&gt;"/>
    <s v="jane &lt;jane@almasecurity.com&gt;; john &lt;john@almasecurity.com&gt;"/>
    <s v="steve &lt;steve@almasecurity.com&gt;"/>
    <s v="PM-09,PM-18,PM-30,SR-03,SR-05,SR-06,SR-08"/>
    <m/>
    <n v="5"/>
    <n v="5"/>
    <s v="Internal and external stakeholder mapping completed. Customer expectations for biometric data security documented. Executive and Board expectations formally captured in security charter."/>
    <d v="2025-01-13T00:00:00"/>
    <s v="Complete"/>
    <s v="Yes"/>
    <s v="Yes"/>
    <s v="No"/>
    <n v="6.5"/>
    <n v="5"/>
    <s v="Stakeholder expectations integrated into security service catalog. Public trust rebuilding program (addressing 2022 events) showing measurable progress. Regular stakeholder feedback mechanisms operational."/>
    <d v="2025-04-08T00:00:00"/>
    <s v="Complete"/>
    <s v="No"/>
    <s v="Yes"/>
    <s v="Yes"/>
    <n v="6.5"/>
    <n v="5"/>
    <m/>
    <d v="2025-06-04T00:00:00"/>
    <s v="In Progress"/>
    <s v="No"/>
    <s v="Yes"/>
    <s v="No"/>
    <n v="6.5"/>
    <n v="5"/>
    <m/>
    <m/>
    <s v="Not Started"/>
    <s v="No"/>
    <s v="No"/>
    <s v="No"/>
    <m/>
    <m/>
    <n v="5"/>
    <m/>
    <m/>
  </r>
  <r>
    <s v="GV.OV-01 Ex2"/>
    <x v="0"/>
    <s v="The organization's cybersecurity risk management strategy, expectations, and policy are established, communicated, and monitored"/>
    <x v="3"/>
    <s v="Oversight (GV.OV)"/>
    <s v="Results of organization-wide cybersecurity risk management activities and performance are used to inform, improve, and adjust the risk management strategy"/>
    <s v="GV.OV-01"/>
    <s v="Cybersecurity risk management strategy outcomes are reviewed to inform and adjust strategy and direction"/>
    <s v="Ex2: Examine whether cybersecurity risk strategies that impede operations or innovation should be adjusted"/>
    <s v="Alma Security tracks five KPIs quarterly: Time to Detect (TTD), Time to Investigate (TTI), Time to Remediate Crown Jewels (TTR-CJC), Time to Remediate All Systems (TTR-C), and Public Trust Score. Board and management review KPI trends to adjust strategy. Investments in detection capabilities are approved based on demonstrated KPI improvement, balancing security with operational and innovation needs."/>
    <x v="0"/>
    <s v="gerry &lt;gerry@almasecurity.com&gt;"/>
    <s v="jane &lt;jane@almasecurity.com&gt;; john &lt;john@almasecurity.com&gt;"/>
    <s v="steve &lt;steve@almasecurity.com&gt;"/>
    <s v="AC-01,AT-01,AU-01,CA-01,CM-01,CP-01,IA-01,IR-01,MA-01,MP-01,PE-01,PL-01,PM-01,PM-09,PM-18,PM-30,PM-31,PS-01,PT-01,RA-01,RA-07,SA-01,SC-01,SI-01,SR-01,SR-06"/>
    <s v="1. Inquiry: CEO, CISO, 2. Inspect Board meeting minutes, 3. Inspect management meeting minutes"/>
    <n v="6"/>
    <n v="5"/>
    <s v="Comprehensive KPI framework operational: TTD=9hrs (down from 81hrs), TTI=14hrs, TTR-CJC=8 days, TTR-C=12 days. Board reviews strategy outcomes quarterly. Risk strategies balanced against operational needs."/>
    <d v="2025-01-14T00:00:00"/>
    <s v="Complete"/>
    <s v="Yes"/>
    <s v="Yes"/>
    <s v="Yes"/>
    <n v="6.5"/>
    <n v="5"/>
    <s v="Strategy outcomes drive resource allocation. TTR-CJC now under 6 days (Mar 2024). Detection capability investments approved based on KPI trends. Innovation-enabling approach adopted."/>
    <d v="2025-04-09T00:00:00"/>
    <s v="Complete"/>
    <s v="Yes"/>
    <s v="Yes"/>
    <s v="No"/>
    <n v="6.5"/>
    <n v="5"/>
    <m/>
    <d v="2025-06-05T00:00:00"/>
    <s v="In Progress"/>
    <s v="No"/>
    <s v="Yes"/>
    <s v="No"/>
    <n v="6.5"/>
    <n v="5"/>
    <m/>
    <m/>
    <s v="Not Started"/>
    <s v="No"/>
    <s v="No"/>
    <s v="No"/>
    <m/>
    <m/>
    <n v="5"/>
    <m/>
    <m/>
  </r>
  <r>
    <s v="GV.RM-01 Ex2"/>
    <x v="0"/>
    <s v="The organization's cybersecurity risk management strategy, expectations, and policy are established, communicated, and monitored"/>
    <x v="4"/>
    <s v="Risk Management Strategy (GV.RM)"/>
    <s v="The organization's priorities, constraints, risk tolerance and appetite statements, and assumptions are established, communicated, and used to support operational risk decisions"/>
    <s v="GV.RM-01"/>
    <s v="Risk management objectives are established and agreed to by organizational stakeholders"/>
    <s v="Ex2: Establish measurable objectives for cybersecurity risk management (e.g., manage the quality of user training, ensure adequate risk protection for industrial control systems)"/>
    <s v="Risk management objectives are established with Board approval and tracked via automated dashboards: TTD target &lt;4 minutes by Jan 2025, TTR-CJC target &lt;16 hours by Aug 2025. Objectives align with company goals G1-G8. Monthly management reviews assess progress, with ASM vendor selection addressing risk register items R2 (perimeter monitoring) and R4 (asset inventory)."/>
    <x v="0"/>
    <s v="gerry &lt;gerry@almasecurity.com&gt;"/>
    <s v="jane &lt;jane@almasecurity.com&gt;; john &lt;john@almasecurity.com&gt;"/>
    <s v="steve &lt;steve@almasecurity.com&gt;"/>
    <s v="PM-09,RA-07,SR-02"/>
    <s v="1. Inquiry: CISO, 2. Inspect quarterly Board slides, 3. Inspect monthly management slides"/>
    <n v="6"/>
    <n v="5"/>
    <s v="Measurable risk management objectives established with Board approval: TTD &amp;lt;4min by Jan 2025, TTR-CJC &amp;lt;16hrs by Aug 2025. Objectives aligned with company goals G1-G8."/>
    <d v="2025-01-15T00:00:00"/>
    <s v="Complete"/>
    <s v="Yes"/>
    <s v="Yes"/>
    <s v="No"/>
    <n v="6.5"/>
    <n v="5"/>
    <s v="Objectives tracked with automated dashboards. Significant progress: TTD reduced 89% from baseline. ASM vendor selected to address R2/R4 risks. Monthly management reviews of objective progress."/>
    <d v="2025-04-10T00:00:00"/>
    <s v="Complete"/>
    <s v="No"/>
    <s v="Yes"/>
    <s v="Yes"/>
    <n v="6.5"/>
    <n v="5"/>
    <m/>
    <d v="2025-06-06T00:00:00"/>
    <s v="In Progress"/>
    <s v="No"/>
    <s v="Yes"/>
    <s v="No"/>
    <n v="6.5"/>
    <n v="5"/>
    <m/>
    <m/>
    <s v="Not Started"/>
    <s v="No"/>
    <s v="No"/>
    <s v="No"/>
    <m/>
    <m/>
    <n v="5"/>
    <m/>
    <m/>
  </r>
  <r>
    <s v="GV.RR-01 Ex4"/>
    <x v="0"/>
    <s v="The organization's cybersecurity risk management strategy, expectations, and policy are established, communicated, and monitored"/>
    <x v="2"/>
    <s v="Roles, Responsibilities, and Authorities (GV.RR)"/>
    <s v="Cybersecurity roles, responsibilities, and authorities to foster accountability, performance assessment, and continuous improvement are established and communicated"/>
    <s v="GV.RR-01"/>
    <s v="Organizational leadership is responsible and accountable for cybersecurity risk and fosters a culture that is risk-aware, ethical, and continually improving"/>
    <s v="Ex4: Conduct reviews to ensure adequate authority and coordination among those responsible for managing cybersecurity risk"/>
    <s v="The Security Governance Charter establishes CISO authority and accountability with direct CEO reporting and quarterly Board presentations. Coordination reviews occur through weekly security-IT meetings and monthly cross-functional sessions with Legal and Product teams. The hiring strategy (STS1) to add 5 A-tier professionals addresses the 50% understaffing risk (R1)."/>
    <x v="0"/>
    <s v="gerry &lt;gerry@almasecurity.com&gt;"/>
    <s v="jane &lt;jane@almasecurity.com&gt;; john &lt;john@almasecurity.com&gt;"/>
    <s v="steve &lt;steve@almasecurity.com&gt;"/>
    <s v="PM-02,PM-19,PM-23,PM-24,PM-29"/>
    <s v="1. Inquiry: CEO, CISO, 2. Inspect security governance charter, 3. Inspect coordination meeting minutes"/>
    <n v="5"/>
    <n v="5"/>
    <s v="Security governance charter approved. CISO reports directly to CEO with Board visibility. Authority reviews completed. Coordination protocols established despite staffing constraints."/>
    <d v="2025-01-16T00:00:00"/>
    <s v="Complete"/>
    <s v="Yes"/>
    <s v="Yes"/>
    <s v="Yes"/>
    <n v="6"/>
    <n v="5"/>
    <s v="Leadership accountability demonstrated through quarterly Board presentations. Hiring authority approved for 5 additional A-tier professionals (STS1). Cross-functional coordination meetings formalized."/>
    <d v="2025-04-11T00:00:00"/>
    <s v="Complete"/>
    <s v="Yes"/>
    <s v="Yes"/>
    <s v="No"/>
    <n v="6"/>
    <n v="5"/>
    <m/>
    <d v="2025-06-07T00:00:00"/>
    <s v="In Progress"/>
    <s v="No"/>
    <s v="Yes"/>
    <s v="No"/>
    <n v="6"/>
    <n v="5"/>
    <m/>
    <m/>
    <s v="Not Started"/>
    <s v="No"/>
    <s v="No"/>
    <s v="No"/>
    <m/>
    <m/>
    <n v="5"/>
    <m/>
    <m/>
  </r>
  <r>
    <s v="GV.SC-01 Ex3"/>
    <x v="0"/>
    <s v="The organization's cybersecurity risk management strategy, expectations, and policy are established, communicated, and monitored"/>
    <x v="0"/>
    <s v="Cybersecurity Supply Chain Risk Management (GV.SC)"/>
    <s v="Cyber supply chain risk management processes are identified, established, managed, monitored, and improved by organizational stakeholders"/>
    <s v="GV.SC-01"/>
    <s v="A cybersecurity supply chain risk management program, strategy, objectives, policies, and processes are established and agreed to by organizational stakeholders"/>
    <s v="Ex3: Develop and implement program processes based on the strategy, objectives, policies, and procedures that are agreed upon and performed by the organizational stakeholders"/>
    <s v="Alma Security's SCRM program includes: _x000a_- (1) documented strategy aligned with the authentication mission, - (2) vendor management policy with tiered requirements, _x000a_- (3) ServiceNow workflows for vendor assessments and onboarding, and _x000a_- (4) performance metrics tracked quarterly. The Apple Passkey integration drives enhanced vendor security requirements with Feb 2025 audit planned."/>
    <x v="0"/>
    <s v="gerry &lt;gerry@almasecurity.com&gt;"/>
    <s v="jane &lt;jane@almasecurity.com&gt;; john &lt;john@almasecurity.com&gt;"/>
    <s v="steve &lt;steve@almasecurity.com&gt;"/>
    <s v="PM-30,SR-02,SR-03"/>
    <m/>
    <n v="5.5"/>
    <n v="5"/>
    <s v="SCRM program established with documented strategy, objectives, and policies. Vendor management policy approved. ServiceNow assessment workflows deployed for critical vendors."/>
    <d v="2025-01-17T00:00:00"/>
    <s v="Complete"/>
    <s v="Yes"/>
    <s v="Yes"/>
    <s v="Yes"/>
    <n v="6"/>
    <n v="5"/>
    <s v="Program processes fully operational. Apple Passkey integration (G8) vendor requirements defined and enforced. Program performance metrics tracked. Feb 2025 audit scope finalized."/>
    <d v="2025-04-12T00:00:00"/>
    <s v="Complete"/>
    <s v="Yes"/>
    <s v="Yes"/>
    <s v="Yes"/>
    <n v="6"/>
    <n v="5"/>
    <m/>
    <d v="2025-06-08T00:00:00"/>
    <s v="In Progress"/>
    <s v="No"/>
    <s v="Yes"/>
    <s v="No"/>
    <n v="6"/>
    <n v="5"/>
    <m/>
    <m/>
    <s v="Not Started"/>
    <s v="No"/>
    <s v="No"/>
    <s v="No"/>
    <m/>
    <m/>
    <n v="5"/>
    <m/>
    <m/>
  </r>
  <r>
    <s v="GV.SC-02 Ex7"/>
    <x v="0"/>
    <s v="The organization's cybersecurity risk management strategy, expectations, and policy are established, communicated, and monitored"/>
    <x v="0"/>
    <s v="Cybersecurity Supply Chain Risk Management (GV.SC)"/>
    <s v="Cyber supply chain risk management processes are identified, established, managed, monitored, and improved by organizational stakeholders"/>
    <s v="GV.SC-02"/>
    <s v="Cybersecurity roles and responsibilities for suppliers, customers, and partners are established, communicated, and coordinated internally and externally"/>
    <s v="Ex7: Internally communicate cybersecurity supply chain risk management roles and responsibilities for third parties"/>
    <s v="SCRM roles are defined in the RACI matrix and communicated through: _x000a_- (1) internal procurement team training via Workday, _x000a_- (2) supplier contracts with security requirements, and _x000a_- (3) RFP templates with mandatory security clauses. Procurement staff complete SCRM certification. Critical suppliers receive formal communication of their cybersecurity responsibilities."/>
    <x v="0"/>
    <s v="gerry &lt;gerry@almasecurity.com&gt;"/>
    <s v="jane &lt;jane@almasecurity.com&gt;; john &lt;john@almasecurity.com&gt;"/>
    <s v="steve &lt;steve@almasecurity.com&gt;"/>
    <s v="SR-02,SR-03,SR-05"/>
    <m/>
    <n v="5.5"/>
    <n v="5"/>
    <s v="Supplier cybersecurity roles documented internally. RACI for third-party risk management completed. Procurement team trained on SCRM responsibilities."/>
    <d v="2025-01-18T00:00:00"/>
    <s v="Complete"/>
    <s v="Yes"/>
    <s v="Yes"/>
    <s v="No"/>
    <n v="6"/>
    <n v="5"/>
    <s v="Roles communicated externally to all critical suppliers via updated contracts. Procurement staff certified on SCRM. Supplier security requirements included in RFP templates."/>
    <d v="2025-04-13T00:00:00"/>
    <s v="Complete"/>
    <s v="Yes"/>
    <s v="Yes"/>
    <s v="No"/>
    <n v="6"/>
    <n v="5"/>
    <m/>
    <d v="2025-06-09T00:00:00"/>
    <s v="In Progress"/>
    <s v="No"/>
    <s v="Yes"/>
    <s v="No"/>
    <n v="6"/>
    <n v="5"/>
    <m/>
    <m/>
    <s v="Not Started"/>
    <s v="No"/>
    <s v="No"/>
    <s v="No"/>
    <m/>
    <m/>
    <n v="5"/>
    <m/>
    <m/>
  </r>
  <r>
    <s v="GV.SC-06 Ex3"/>
    <x v="0"/>
    <s v="The organization's cybersecurity risk management strategy, expectations, and policy are established, communicated, and monitored"/>
    <x v="0"/>
    <s v="Cybersecurity Supply Chain Risk Management (GV.SC)"/>
    <s v="Cyber supply chain risk management processes are identified, established, managed, monitored, and improved by organizational stakeholders"/>
    <s v="GV.SC-06"/>
    <s v="Planning and due diligence are performed to reduce risks before entering into formal supplier or other third-party relationships"/>
    <s v="Ex3: Conduct supplier risk assessments against business and applicable cybersecurity requirements"/>
    <s v="Vendor due diligence is performed through ServiceNow onboarding workflows requiring: _x000a_- (1) security questionnaire completion, _x000a_- (2) risk assessment against tiered criteria, _x000a_- (3) evidence collection for critical vendors. Assessments must be completed before contract execution. Results inform contract terms including security requirements and audit rights. The Apple Passkey vendor assessment included remediation tracking."/>
    <x v="0"/>
    <s v="gerry &lt;gerry@almasecurity.com&gt;"/>
    <s v="jane &lt;jane@almasecurity.com&gt;; john &lt;john@almasecurity.com&gt;"/>
    <s v="steve &lt;steve@almasecurity.com&gt;"/>
    <s v="SA-04,SA-09,SR-05,SR-06"/>
    <m/>
    <n v="5"/>
    <n v="5"/>
    <s v="Vendor risk assessment criteria standardized. ServiceNow onboarding workflow operational. Due diligence requirements documented for all vendor tiers."/>
    <d v="2025-01-19T00:00:00"/>
    <s v="Complete"/>
    <s v="Yes"/>
    <s v="Yes"/>
    <s v="Yes"/>
    <n v="5"/>
    <n v="5"/>
    <s v="Risk assessments mandatory before contract execution. Apple Passkey vendor assessment completed with remediation tracking. Assessment results inform contract terms."/>
    <d v="2025-04-14T00:00:00"/>
    <s v="Complete"/>
    <s v="No"/>
    <s v="Yes"/>
    <s v="Yes"/>
    <n v="5"/>
    <n v="5"/>
    <m/>
    <d v="2025-06-10T00:00:00"/>
    <s v="In Progress"/>
    <s v="No"/>
    <s v="Yes"/>
    <s v="No"/>
    <n v="5"/>
    <n v="5"/>
    <m/>
    <m/>
    <s v="Not Started"/>
    <s v="No"/>
    <s v="No"/>
    <s v="No"/>
    <m/>
    <m/>
    <n v="5"/>
    <m/>
    <m/>
  </r>
  <r>
    <s v="GV.SC-10 Ex3"/>
    <x v="0"/>
    <s v="The organization's cybersecurity risk management strategy, expectations, and policy are established, communicated, and monitored"/>
    <x v="0"/>
    <s v="Cybersecurity Supply Chain Risk Management (GV.SC)"/>
    <s v="Cyber supply chain risk management processes are identified, established, managed, monitored, and improved by organizational stakeholders"/>
    <s v="GV.SC-10"/>
    <s v="Cybersecurity supply chain risk management plans include provisions for activities that occur after the conclusion of a partnership or service agreement"/>
    <s v="Ex3: Verify that supplier access to organization resources is deactivated promptly when it is no longer needed"/>
    <s v="Supplier offboarding is managed through a comprehensive checklist integrated with the procurement workflow. Access termination is automated to complete within 24 hours of contract end. The process includes: (1) access review across all systems, (2) credential revocation in SSO, (3) removal from Slack and collaboration tools, (4) audit trail documentation. Sample audits verify compliance."/>
    <x v="0"/>
    <s v="gerry &lt;gerry@almasecurity.com&gt;"/>
    <s v="jane &lt;jane@almasecurity.com&gt;; john &lt;john@almasecurity.com&gt;"/>
    <s v="steve &lt;steve@almasecurity.com&gt;"/>
    <s v="PM-31,RA-03,RA-05,RA-07,SA-04,SA-09,SR-02,SR-03,SR-05,SR-06"/>
    <s v="1. Inquiry: CISO, Procurement, 2. Inspect offboarding checklist, 3. Inspect sample of terminated supplier accounts"/>
    <n v="5"/>
    <n v="5"/>
    <s v="Comprehensive offboarding checklist implemented. Supplier access termination procedures documented. Access reviews conducted upon contract termination."/>
    <d v="2025-01-20T00:00:00"/>
    <s v="Complete"/>
    <s v="Yes"/>
    <s v="Yes"/>
    <s v="Yes"/>
    <n v="6"/>
    <n v="5"/>
    <s v="Automated access deactivation within 24 hours for terminated suppliers. Sample audits confirm compliance. Offboarding process integrated with procurement workflow."/>
    <d v="2025-04-15T00:00:00"/>
    <s v="Complete"/>
    <s v="No"/>
    <s v="Yes"/>
    <s v="Yes"/>
    <n v="6"/>
    <n v="5"/>
    <m/>
    <d v="2025-06-11T00:00:00"/>
    <s v="In Progress"/>
    <s v="No"/>
    <s v="Yes"/>
    <s v="No"/>
    <n v="6"/>
    <n v="5"/>
    <m/>
    <m/>
    <s v="Not Started"/>
    <s v="No"/>
    <s v="No"/>
    <s v="No"/>
    <m/>
    <m/>
    <n v="5"/>
    <m/>
    <m/>
  </r>
  <r>
    <s v="GV.SC-09 Ex5"/>
    <x v="0"/>
    <s v="The organization's cybersecurity risk management strategy, expectations, and policy are established, communicated, and monitored"/>
    <x v="0"/>
    <s v="Cybersecurity Supply Chain Risk Management (GV.SC)"/>
    <s v="Cyber supply chain risk management processes are identified, established, managed, monitored, and improved by organizational stakeholders"/>
    <s v="GV.SC-09"/>
    <s v="Supply chain security practices are integrated into cybersecurity and enterprise risk management programs, and their performance is monitored throughout the technology product and service life cycle"/>
    <s v="Ex5: Policies and procedure require checking upgrades to critical hardware for unauthorized changes"/>
    <s v="Supply chain security is integrated into the ERM program through: (1) cybersecurity policy requirements for hardware change verification, (2) change management procedures for critical infrastructure upgrades, (3) lifecycle monitoring for technology products. Hardware changes are verified against authorized baselines, with automation deployed where possible through AWS Config and infrastructure-as-code."/>
    <x v="0"/>
    <s v="gerry &lt;gerry@almasecurity.com&gt;"/>
    <s v="jane &lt;jane@almasecurity.com&gt;; john &lt;john@almasecurity.com&gt;"/>
    <s v="steve &lt;steve@almasecurity.com&gt;"/>
    <s v="PM-09,PM-19,PM-28,PM-30,PM-31,RA-03,RA-07,SA-04,SA-09,SR-02,SR-03,SR-05,SR-06"/>
    <s v="1. Inquiry: CISO, CIO, 2. Inspect cybersecurity policy, 3. Inspect change management policy"/>
    <n v="5"/>
    <n v="5"/>
    <s v="Supply chain security practices documented in cybersecurity policy. Critical hardware change verification procedures established. Integration with ERM program initiated."/>
    <d v="2025-01-21T00:00:00"/>
    <s v="Complete"/>
    <s v="Yes"/>
    <s v="Yes"/>
    <s v="Yes"/>
    <n v="6"/>
    <n v="5"/>
    <s v="Full ERM integration achieved. Hardware change verification automated where possible. Lifecycle monitoring operational for critical technology products."/>
    <d v="2025-04-16T00:00:00"/>
    <s v="Complete"/>
    <s v="No"/>
    <s v="Yes"/>
    <s v="Yes"/>
    <n v="6"/>
    <n v="5"/>
    <m/>
    <d v="2025-06-12T00:00:00"/>
    <s v="In Progress"/>
    <s v="No"/>
    <s v="Yes"/>
    <s v="No"/>
    <n v="6"/>
    <n v="5"/>
    <m/>
    <m/>
    <s v="Not Started"/>
    <s v="No"/>
    <s v="No"/>
    <s v="No"/>
    <m/>
    <m/>
    <n v="5"/>
    <m/>
    <m/>
  </r>
  <r>
    <s v="ID.RA-07 Ex1"/>
    <x v="1"/>
    <s v="The organization's current cybersecurity risks are understood"/>
    <x v="5"/>
    <s v="Risk Assessment (ID.RA)"/>
    <s v="The cybersecurity risk to the organization, assets, and individuals is understood by the organization"/>
    <s v="ID.RA-07"/>
    <s v="Changes and exceptions are managed, assessed for risk impact, recorded, and tracked"/>
    <s v="Ex1: Implement and follow procedures for the formal documentation, review, testing, and approval of proposed changes and requested exceptions"/>
    <s v="Change management is governed by policy requiring: (1) formal documentation of proposed changes in ServiceNow, (2) risk impact assessment for changes affecting crown jewel systems, (3) testing and approval workflows, (4) exception documentation with CISO approval. Sample audits track compliance (currently 85%). Crown jewel systems require additional security review."/>
    <x v="0"/>
    <s v="chris.magann &lt;chris.magann@almasecurity.com&gt;"/>
    <s v="jane &lt;jane@almasecurity.com&gt;; john &lt;john@almasecurity.com&gt;"/>
    <s v="steve &lt;steve@almasecurity.com&gt;"/>
    <s v="CA-07,CM-03,CM-04"/>
    <s v="1. Inquiry: CISO, Change Manager, 2. Inspect change management policy, 3. Inspect sample of change requests"/>
    <n v="1"/>
    <n v="5"/>
    <s v="Change management policy exists. Exception documentation process established but enforcement inconsistent across teams."/>
    <d v="2025-01-22T00:00:00"/>
    <s v="Complete"/>
    <s v="Yes"/>
    <s v="Yes"/>
    <s v="Yes"/>
    <n v="3"/>
    <n v="5"/>
    <s v="Change requests formally documented and tracked. Risk impact assessments required for crown jewel systems. Sample audits show 85% compliance with documented procedures."/>
    <d v="2025-04-17T00:00:00"/>
    <s v="Complete"/>
    <s v="Yes"/>
    <s v="Yes"/>
    <s v="Yes"/>
    <n v="3"/>
    <n v="5"/>
    <m/>
    <d v="2025-06-13T00:00:00"/>
    <s v="In Progress"/>
    <s v="No"/>
    <s v="Yes"/>
    <s v="No"/>
    <n v="3"/>
    <n v="5"/>
    <m/>
    <m/>
    <s v="Not Started"/>
    <s v="No"/>
    <s v="No"/>
    <s v="No"/>
    <s v="chris.magann &lt;chris.magann@almasecurity.com&gt;"/>
    <d v="2026-09-30T00:00:00"/>
    <n v="5"/>
    <s v="Implement automated change management enforcement in ServiceNow. Extend mandatory risk impact assessments to all systems (not just crown jewels). Conduct training for all teams on change documentation requirements. Target 95% compliance."/>
    <m/>
  </r>
  <r>
    <s v="PR.AT-01 Ex2"/>
    <x v="2"/>
    <s v="Safeguards to manage the organization's cybersecurity risks are used"/>
    <x v="6"/>
    <s v="Awareness and Training (PR.AT)"/>
    <s v="The organization's personnel are provided with cybersecurity awareness and training so that they can perform their cybersecurity-related tasks"/>
    <s v="PR.AT-01"/>
    <s v="Personnel are provided with awareness and training so that they possess the knowledge and skills to perform general tasks with cybersecurity risks in mind"/>
    <s v="Ex2: Train personnel to recognize social engineering attempts and other common attacks, report attacks and suspicious activity, comply with acceptable use policies, and perform basic cyber hygiene tasks (e.g., patching software, choosing passwords, protecting credentials)"/>
    <s v="Security awareness training is delivered quarterly through Workday with modules covering: (1) social engineering and phishing recognition, (2) attack reporting procedures via Slack #security-alerts, (3) acceptable use policy compliance, (4) basic cyber hygiene including password management and credential protection. Phishing simulations measure effectiveness. New hire onboarding includes mandatory security training."/>
    <x v="0"/>
    <s v="gerry &lt;gerry@almasecurity.com&gt;"/>
    <s v="jane &lt;jane@almasecurity.com&gt;; john &lt;john@almasecurity.com&gt;"/>
    <s v="steve &lt;steve@almasecurity.com&gt;"/>
    <s v="AT-02,AT-03"/>
    <s v="1. Inquiry: CISO, HR, 2. Inspect security training policy, 3. Inspect sample of training records"/>
    <n v="4"/>
    <n v="5"/>
    <s v="Security awareness program operational with quarterly training. Social engineering and phishing modules deployed. Training records maintained in Workday with 90% completion rate."/>
    <d v="2025-01-23T00:00:00"/>
    <s v="Complete"/>
    <s v="No"/>
    <s v="Yes"/>
    <s v="Yes"/>
    <n v="5"/>
    <n v="5"/>
    <s v="Training program achieving target completion rates. Phishing simulation click rates improved 40% from baseline. Cyber hygiene training integrated into new hire onboarding."/>
    <d v="2025-04-18T00:00:00"/>
    <s v="Complete"/>
    <s v="No"/>
    <s v="Yes"/>
    <s v="Yes"/>
    <n v="6"/>
    <n v="5"/>
    <m/>
    <d v="2025-06-14T00:00:00"/>
    <s v="Submitted"/>
    <s v="No"/>
    <s v="Yes"/>
    <s v="No"/>
    <n v="6"/>
    <n v="5"/>
    <m/>
    <m/>
    <s v="Not Started"/>
    <s v="No"/>
    <s v="No"/>
    <s v="No"/>
    <m/>
    <m/>
    <n v="5"/>
    <m/>
    <m/>
  </r>
  <r>
    <s v="PR.IR-02 Ex1"/>
    <x v="2"/>
    <s v="Safeguards to manage the organization's cybersecurity risks are used"/>
    <x v="7"/>
    <s v="Technology Infrastructure Resilience (PR.IR)"/>
    <s v="Security architectures are managed with the organization's risk strategy to protect asset confidentiality, integrity, and availability, and organizational resilience"/>
    <s v="PR.IR-02"/>
    <s v="The organization's technology assets are protected from environmental threats"/>
    <s v="Ex1: Protect organizational equipment from known environmental threats, such as flooding, fire, wind, and excessive heat and humidity"/>
    <s v="Environmental protection includes: _x000a_- (1) Redwood City data center with fire suppression, HVAC monitoring, and physical access controls protecting the Windows DC serving 300 employees, _x000a_- (2) AWS infrastructure leveraging multi-AZ deployment with native resilience controls, _x000a_- (3) documented environmental threat assessments and tested response procedures."/>
    <x v="0"/>
    <s v="gerry &lt;gerry@almasecurity.com&gt;"/>
    <s v="jane &lt;jane@almasecurity.com&gt;; john &lt;john@almasecurity.com&gt;"/>
    <s v="steve &lt;steve@almasecurity.com&gt;"/>
    <s v="CP-02,PE-09,PE-10,PE-11,PE-12,PE-13,PE-14,PE-15,PE-18,PE-23"/>
    <m/>
    <n v="1.5"/>
    <n v="5"/>
    <s v="Redwood City data center environmental controls documented. Windows DC hosting 300 employees protected. AWS infrastructure leverages native resilience controls."/>
    <d v="2025-01-24T00:00:00"/>
    <s v="Complete"/>
    <s v="Yes"/>
    <s v="Yes"/>
    <s v="Yes"/>
    <n v="5"/>
    <n v="5"/>
    <s v="Environmental threat protection verified and documented. AWS multi-AZ deployment operational. On-prem DC controls tested and certified. Fire suppression and HVAC monitoring active."/>
    <d v="2025-04-19T00:00:00"/>
    <s v="Complete"/>
    <s v="Yes"/>
    <s v="Yes"/>
    <s v="Yes"/>
    <n v="6"/>
    <n v="5"/>
    <m/>
    <d v="2025-06-15T00:00:00"/>
    <s v="Submitted"/>
    <s v="No"/>
    <s v="Yes"/>
    <s v="No"/>
    <n v="6"/>
    <n v="5"/>
    <m/>
    <m/>
    <s v="Not Started"/>
    <s v="No"/>
    <s v="No"/>
    <s v="No"/>
    <m/>
    <m/>
    <n v="5"/>
    <m/>
    <m/>
  </r>
  <r>
    <s v="RS.MI-02 Ex2"/>
    <x v="3"/>
    <s v="Actions regarding a detected cybersecurity incident are taken"/>
    <x v="8"/>
    <s v="Incident Mitigation (RS.MI)"/>
    <s v="Activities are performed to prevent expansion of an event and mitigate its effects"/>
    <s v="RS.MI-02"/>
    <s v="Incidents are eradicated"/>
    <s v="Ex2: Allow incident responders to manually select and perform eradication actions"/>
    <s v="Incident eradication is managed by Nadia Khan's Detection &amp; Response team using documented playbooks with decision trees. The Incident Response Enhancement project ($150K) delivers improved eradication procedures. Incident responders select from approved eradication actions based on incident type, with escalation paths defined for complex scenarios requiring manual intervention."/>
    <x v="0"/>
    <s v="gerry &lt;gerry@almasecurity.com&gt;"/>
    <s v="jane &lt;jane@almasecurity.com&gt;; john &lt;john@almasecurity.com&gt;"/>
    <s v="steve &lt;steve@almasecurity.com&gt;"/>
    <s v="IR-04"/>
    <s v="1. Inquiry: CISO, Incident Commander, 2. Inspect eradication procedure, 3. Inspect sample of incidents"/>
    <n v="2.5"/>
    <n v="5"/>
    <s v="Eradication procedures documented with defined escalation paths. TTI at 14 hours. Nadia Khan leads D&amp;R with documented playbooks for common incident types."/>
    <d v="2025-01-25T00:00:00"/>
    <s v="Complete"/>
    <s v="Yes"/>
    <s v="Yes"/>
    <s v="No"/>
    <n v="5"/>
    <n v="5"/>
    <s v="Eradication capabilities mature. Incident Response Enhancement project ($150K) delivering improved playbooks. Manual eradication options well-documented with decision trees."/>
    <d v="2025-04-20T00:00:00"/>
    <s v="Complete"/>
    <s v="Yes"/>
    <s v="Yes"/>
    <s v="No"/>
    <n v="5"/>
    <n v="5"/>
    <m/>
    <d v="2025-06-16T00:00:00"/>
    <s v="Submitted"/>
    <s v="No"/>
    <s v="Yes"/>
    <s v="No"/>
    <n v="5"/>
    <n v="5"/>
    <m/>
    <m/>
    <s v="Not Started"/>
    <s v="No"/>
    <s v="No"/>
    <s v="No"/>
    <m/>
    <m/>
    <n v="5"/>
    <m/>
    <m/>
  </r>
  <r>
    <s v="DE.AE-02 Ex1"/>
    <x v="4"/>
    <s v="Possible cybersecurity attacks and compromises are found and analyzed"/>
    <x v="9"/>
    <s v="Adverse Event Analysis (DE.AE)"/>
    <s v="Anomalies, indicators of compromise, and other potentially adverse events are analyzed to characterize the events and detect cybersecurity incidents"/>
    <s v="DE.AE-02"/>
    <s v="Potentially adverse events are analyzed to better understand associated activities"/>
    <s v="Ex1: Use security information and event management (SIEM) or other tools to continuously monitor log events for known malicious and suspicious activity"/>
    <s v="Alma Security uses AWS CloudTrail and GuardDuty for SIEM-like log monitoring. Detection rules are tuned based on threat intelligence with current TTD at 9 hours. The Incident Response Enhancement project addresses 24/7 monitoring gaps. Log analysis covers malicious activity patterns across AWS accounts with expanded use cases added quarterly."/>
    <x v="0"/>
    <s v="nadia.khan &lt;nadia.khan@almasecurity.com&gt;"/>
    <s v="jane &lt;jane@almasecurity.com&gt;; John Doe &lt;john@doe.com&gt;"/>
    <s v="steve &lt;steve@almasecurity.com&gt;"/>
    <s v="AU-06,CA-07,IR-04,SI-04"/>
    <m/>
    <n v="2.5"/>
    <n v="5"/>
    <s v="CloudTrail and GuardDuty provide SIEM-like functionality. TTD at 9 hours. Malicious activity detection rules tuned based on threat intelligence."/>
    <d v="2025-01-26T00:00:00"/>
    <s v="Complete"/>
    <s v="No"/>
    <s v="Yes"/>
    <s v="Yes"/>
    <n v="4"/>
    <n v="5"/>
    <s v="SIEM monitoring expanded with additional use cases. Log analysis frequency increased. Incident Response Enhancement project addressing 24/7 monitoring gap."/>
    <d v="2025-04-21T00:00:00"/>
    <s v="Complete"/>
    <s v="No"/>
    <s v="Yes"/>
    <s v="No"/>
    <n v="5"/>
    <n v="5"/>
    <m/>
    <d v="2025-06-17T00:00:00"/>
    <s v="Submitted"/>
    <s v="No"/>
    <s v="Yes"/>
    <s v="No"/>
    <n v="5"/>
    <n v="5"/>
    <m/>
    <m/>
    <s v="Not Started"/>
    <s v="No"/>
    <s v="No"/>
    <s v="No"/>
    <s v="nadia.khan &lt;nadia.khan@almasecurity.com&gt;"/>
    <d v="2026-08-31T00:00:00"/>
    <n v="5"/>
    <s v="Complete Incident Response Enhancement project deliverables for 24/7 monitoring. Add additional SIEM use cases for non-AWS systems. Implement log analysis automation to reduce manual review burden."/>
    <m/>
  </r>
  <r>
    <s v="DE.AE-06 Ex1"/>
    <x v="4"/>
    <s v="Possible cybersecurity attacks and compromises are found and analyzed"/>
    <x v="9"/>
    <s v="Adverse Event Analysis (DE.AE)"/>
    <s v="Anomalies, indicators of compromise, and other potentially adverse events are analyzed to characterize the events and detect cybersecurity incidents"/>
    <s v="DE.AE-06"/>
    <s v="Information on adverse events is provided to authorized staff and tools"/>
    <s v="Ex1: Use cybersecurity software to generate alerts and provide them to the security operations center (SOC), incident responders, and incident response tools"/>
    <s v="GuardDuty generates alerts routed to the security team via Slack with severity-based prioritization. SOC procedures define handoff between business hours staff and on-call rotation. Alert triage follows the priority matrix with escalation paths. Progress toward 24/7 coverage planned through STS1 hiring strategy."/>
    <x v="0"/>
    <s v="nadia.khan &lt;nadia.khan@almasecurity.com&gt;"/>
    <s v="jane &lt;jane@almasecurity.com&gt;"/>
    <s v="steve &lt;steve@almasecurity.com&gt;"/>
    <s v="IR-04,PM-15,PM-16,RA-04,RA-10"/>
    <s v="1. Inquiry: CISO, SOC Manager, 2. Inspect SOC procedures, 3. Observe SOC handoff meeting"/>
    <n v="2"/>
    <n v="5"/>
    <s v="GuardDuty alerts configured and routed to security team. Alert prioritization matrix implemented. Business hours coverage with on-call rotation."/>
    <d v="2025-01-27T00:00:00"/>
    <s v="Complete"/>
    <s v="Yes"/>
    <s v="Yes"/>
    <s v="Yes"/>
    <n v="4"/>
    <n v="5"/>
    <s v="Alert routing enhanced with severity-based escalation. SOC handoff procedures documented. Progress toward 24/7 coverage with planned staffing increase."/>
    <d v="2025-04-22T00:00:00"/>
    <s v="Complete"/>
    <s v="Yes"/>
    <s v="Yes"/>
    <s v="No"/>
    <n v="6"/>
    <n v="5"/>
    <m/>
    <d v="2025-06-18T00:00:00"/>
    <s v="Submitted"/>
    <s v="No"/>
    <s v="Yes"/>
    <s v="No"/>
    <n v="6"/>
    <n v="5"/>
    <m/>
    <m/>
    <s v="Not Started"/>
    <s v="No"/>
    <s v="No"/>
    <s v="No"/>
    <s v="nadia.khan &lt;nadia.khan@almasecurity.com&gt;"/>
    <d v="2026-10-31T00:00:00"/>
    <n v="5"/>
    <s v="Hire additional SOC staff per STS1 strategy to enable 24/7 coverage. Complete SOC handoff procedure documentation. Implement automated alert escalation for critical severity findings."/>
    <m/>
  </r>
  <r>
    <s v="DE.CM-01 Ex1"/>
    <x v="4"/>
    <s v="Possible cybersecurity attacks and compromises are found and analyzed"/>
    <x v="10"/>
    <s v="Continuous Monitoring (DE.CM)"/>
    <s v="Assets are monitored to find anomalies, indicators of compromise, and other potentially adverse events"/>
    <s v="DE.CM-01"/>
    <s v="Networks and network services are monitored to find potentially adverse events"/>
    <s v="Ex1: Monitor DNS, BGP, and other network services for adverse events"/>
    <s v="Network monitoring is performed through: (1) CloudTrail for API activity, (2) VPC Flow Logs for network traffic, (3) DNS query logging. The selected ASM vendor (addressing R2) will provide external perimeter monitoring. SOC dashboards display network service status with alerting for anomalies. Coverage expands per the implementation plan."/>
    <x v="0"/>
    <s v="tigan.wang &lt;tigan.wang@almasecurity.com&gt;"/>
    <s v="jane &lt;jane@almasecurity.com&gt;; john &lt;john@almasecurity.com&gt;"/>
    <s v="steve &lt;steve@almasecurity.com&gt;"/>
    <s v="AC-02,AU-12,CA-07,CM-03,SC-05,SC-07,SI-04"/>
    <s v="1. Inquiry: CISO, Network Ops, 2. Inspect network monitoring policy, 3. Observe SOC dashboards"/>
    <n v="2"/>
    <n v="5"/>
    <s v="Network monitoring via CloudTrail and VPC Flow Logs. DNS monitoring configured. External perimeter visibility limited pending ASM deployment."/>
    <d v="2025-01-28T00:00:00"/>
    <s v="Complete"/>
    <s v="No"/>
    <s v="Yes"/>
    <s v="Yes"/>
    <n v="4"/>
    <n v="5"/>
    <s v="ASM vendor selected (addressing R2). DNS/BGP monitoring operational. Network service monitoring dashboards deployed. Coverage expanding per implementation plan."/>
    <d v="2025-04-23T00:00:00"/>
    <s v="Complete"/>
    <s v="Yes"/>
    <s v="Yes"/>
    <s v="Yes"/>
    <n v="4"/>
    <n v="5"/>
    <m/>
    <d v="2025-06-19T00:00:00"/>
    <s v="Submitted"/>
    <s v="No"/>
    <s v="Yes"/>
    <s v="No"/>
    <n v="4"/>
    <n v="5"/>
    <m/>
    <m/>
    <s v="Not Started"/>
    <s v="No"/>
    <s v="No"/>
    <s v="No"/>
    <s v="tigan.wang &lt;tigan.wang@almasecurity.com&gt;"/>
    <d v="2026-08-31T00:00:00"/>
    <n v="5"/>
    <s v="Complete ASM solution deployment and integration. Expand DNS/BGP monitoring coverage to all network segments. Deploy network service monitoring dashboards to SOC. Address R2 risk register item."/>
    <s v="SOC-Ticket-1004"/>
  </r>
  <r>
    <s v="ID.RA-01 Ex1"/>
    <x v="1"/>
    <s v="The organization's current cybersecurity risks are understood"/>
    <x v="5"/>
    <s v="Risk Assessment (ID.RA)"/>
    <s v="The cybersecurity risk to the organization, assets, and individuals is understood by the organization"/>
    <s v="ID.RA-01"/>
    <s v="Vulnerabilities in assets are identified, validated, and recorded"/>
    <s v="Ex1: Use vulnerability management technologies to identify unpatched and misconfigured software"/>
    <s v="Vulnerability management is led by Chris Magann and Tigan Wang using automated scanning tools. Scan configurations cover crown jewel systems with higher frequency. Vulnerability reports are reviewed weekly with TTR-C currently at 11 days. Findings are prioritized based on CVSS score and asset criticality, tracked through remediation to closure."/>
    <x v="0"/>
    <s v="gerry &lt;gerry@almasecurity.com&gt;"/>
    <s v="jane &lt;jane@almasecurity.com&gt;; john &lt;john@almasecurity.com&gt;"/>
    <s v="steve &lt;steve@almasecurity.com&gt;"/>
    <s v="CA-02,CA-07,CA-08,RA-03,RA-05,SA-11(02),SA-15(07),SA-15(08),SI-04,SI-05"/>
    <s v="1. Inquiry: CISO, 2. Inspect vulnerability scan configs, 3. Inspect vulnerability reports"/>
    <n v="3"/>
    <n v="5"/>
    <s v="Vulnerability scanning operational with Chris Magann and Tigan Wang leading VM program. Scan configs documented. Regular scanning of crown jewel systems."/>
    <d v="2025-01-29T00:00:00"/>
    <s v="Complete"/>
    <s v="Yes"/>
    <s v="Yes"/>
    <s v="Yes"/>
    <n v="5"/>
    <n v="5"/>
    <s v="VM program mature with TTR-C at 11 days (Apr 2024). Vulnerability reports reviewed weekly. Crown jewel systems prioritized. Automated scanning and reporting operational."/>
    <d v="2025-04-24T00:00:00"/>
    <s v="Complete"/>
    <s v="No"/>
    <s v="Yes"/>
    <s v="Yes"/>
    <n v="5"/>
    <n v="5"/>
    <m/>
    <d v="2025-06-20T00:00:00"/>
    <s v="Submitted"/>
    <s v="No"/>
    <s v="Yes"/>
    <s v="No"/>
    <n v="5"/>
    <n v="5"/>
    <m/>
    <m/>
    <s v="Not Started"/>
    <s v="No"/>
    <s v="No"/>
    <s v="No"/>
    <m/>
    <m/>
    <n v="5"/>
    <m/>
    <m/>
  </r>
  <r>
    <s v="PR.DS-01 Ex4"/>
    <x v="2"/>
    <s v="Safeguards to manage the organization's cybersecurity risks are used"/>
    <x v="11"/>
    <s v="Data Security (PR.DS)"/>
    <s v="Data are managed consistent with the organization's risk strategy to protect the confidentiality, integrity, and availability of information"/>
    <s v="PR.DS-01"/>
    <s v="The confidentiality, integrity, and availability of data-at-rest are protected"/>
    <s v="Ex4: Restrict the use of removable media to prevent data exfiltration"/>
    <s v="Data-at-rest protection includes: (1) encryption policy requiring AES-256 for sensitive data, (2) S3 bucket encryption enforced via bucket policies (S3 Bucket Security project), (3) removable media controls deployed through SentinelOne endpoint policy. The Data Encryption Upgrade project ($95K) enhances encryption across all data stores."/>
    <x v="0"/>
    <s v="chris.magann &lt;chris.magann@almasecurity.com&gt;"/>
    <s v="jane &lt;jane@almasecurity.com&gt;; john &lt;john@almasecurity.com&gt;"/>
    <s v="steve &lt;steve@almasecurity.com&gt;"/>
    <s v="CA-03,CP-09,MP-08,SC-04,SC-07,SC-12,SC-13,SC-28,SC-32,SC-39,SC-43,SI-03,SI-04,SI-07"/>
    <s v="1. Inquiry: CISO, 2. Inspect encryption policy, 3. Inspect endpoint config standards"/>
    <n v="3"/>
    <n v="5"/>
    <s v="Encryption policy documented and approved. S3 bucket security project in progress. Removable media restrictions planned for endpoint deployment."/>
    <d v="2025-01-30T00:00:00"/>
    <s v="Complete"/>
    <s v="Yes"/>
    <s v="Yes"/>
    <s v="No"/>
    <n v="4"/>
    <n v="5"/>
    <s v="Data encryption upgrade project approved ($95K). Removable media controls deployed on managed endpoints. S3 bucket encryption enforced."/>
    <d v="2025-04-25T00:00:00"/>
    <s v="Complete"/>
    <s v="Yes"/>
    <s v="Yes"/>
    <s v="Yes"/>
    <n v="6"/>
    <n v="5"/>
    <m/>
    <d v="2025-06-21T00:00:00"/>
    <s v="Submitted"/>
    <s v="No"/>
    <s v="Yes"/>
    <s v="No"/>
    <n v="6"/>
    <n v="5"/>
    <m/>
    <m/>
    <s v="Not Started"/>
    <s v="No"/>
    <s v="No"/>
    <s v="No"/>
    <s v="chris.magann &lt;chris.magann@almasecurity.com&gt;"/>
    <d v="2026-09-30T00:00:00"/>
    <n v="5"/>
    <s v="Execute Data Encryption Upgrade project ($95K). Extend removable media controls to all managed endpoints including servers. Verify S3 bucket encryption enforcement across all buckets."/>
    <m/>
  </r>
  <r>
    <s v="PR.IR-03 Ex3"/>
    <x v="2"/>
    <s v="Safeguards to manage the organization's cybersecurity risks are used"/>
    <x v="7"/>
    <s v="Technology Infrastructure Resilience (PR.IR)"/>
    <s v="Security architectures are managed with the organization's risk strategy to protect asset confidentiality, integrity, and availability, and organizational resilience"/>
    <s v="PR.IR-03"/>
    <s v="Mechanisms are implemented to achieve resilience requirements in normal and adverse situations"/>
    <s v="Ex3: Use high-availability components like redundant storage and power supplies to improve system reliability"/>
    <s v="Resilience is achieved through: (1) AWS multi-AZ deployment for production workloads, (2) Kubernetes infrastructure with pod redundancy and auto-scaling, (3) redundant storage and compute for critical systems. Failover testing validates recovery capabilities. DR plan development continues as part of the Cloud Security Optimization project ($100K)."/>
    <x v="0"/>
    <s v="tigan.wang &lt;tigan.wang@almasecurity.com&gt;"/>
    <s v="jane &lt;jane@almasecurity.com&gt;; john &lt;john@almasecurity.com&gt;"/>
    <s v="steve &lt;steve@almasecurity.com&gt;"/>
    <s v="CP,IR,SA-08,SC-06,SC-24,SC-36,SC-39,SI-13"/>
    <s v="1. Inquiry: CISO, IT Ops, 2. Inspect HA/DR plans, 3. Observe failover tests"/>
    <n v="3"/>
    <n v="5"/>
    <s v="AWS provides multi-AZ redundancy. Kubernetes infrastructure configured for resilience. HA components deployed for critical workloads."/>
    <d v="2025-01-31T00:00:00"/>
    <s v="Complete"/>
    <s v="No"/>
    <s v="Yes"/>
    <s v="Yes"/>
    <n v="4"/>
    <n v="5"/>
    <s v="Resilience mechanisms documented and tested. Failover testing completed successfully. DR plan development progressing as part of cloud security optimization project."/>
    <d v="2025-04-26T00:00:00"/>
    <s v="Complete"/>
    <s v="Yes"/>
    <s v="Yes"/>
    <s v="Yes"/>
    <n v="4"/>
    <n v="5"/>
    <m/>
    <d v="2025-06-22T00:00:00"/>
    <s v="Submitted"/>
    <s v="No"/>
    <s v="Yes"/>
    <s v="No"/>
    <n v="4"/>
    <n v="5"/>
    <m/>
    <m/>
    <s v="Not Started"/>
    <s v="No"/>
    <s v="No"/>
    <s v="No"/>
    <s v="tigan.wang &lt;tigan.wang@almasecurity.com&gt;"/>
    <d v="2026-09-30T00:00:00"/>
    <n v="5"/>
    <s v="Complete DR plan development under Cloud Security Optimization project. Conduct additional failover testing scenarios. Document and test recovery procedures for all critical workloads."/>
    <m/>
  </r>
  <r>
    <s v="PR.PS-01 Ex1"/>
    <x v="2"/>
    <s v="Safeguards to manage the organization's cybersecurity risks are used"/>
    <x v="12"/>
    <s v="Platform Security (PR.PS)"/>
    <s v="The hardware, software (e.g., firmware, operating systems, applications), and services of physical and virtual platforms are managed consistent with the organization's risk strategy to protect their confidentiality, integrity, and availability"/>
    <s v="PR.PS-01"/>
    <s v="Configuration management practices are established and applied"/>
    <s v="Ex1: Establish, test, deploy, and maintain hardened baselines that enforce the organization's cybersecurity policies and provide only essential capabilities (i.e., principle of least functionality)"/>
    <s v="Configuration management includes: (1) hardened baselines for Amazon Linux 2 and Ubuntu documented and enforced via automation, (2) baseline compliance monitoring through AWS Config, (3) deviation alerting and remediation tracking. Legacy Windows 2012 fileserver upgrade is planned for Q3. 95% of systems deployed to hardened baselines."/>
    <x v="0"/>
    <s v="chris.magann &lt;chris.magann@almasecurity.com&gt;"/>
    <s v="jane &lt;jane@almasecurity.com&gt;; john &lt;john@almasecurity.com&gt;"/>
    <s v="steve &lt;steve@almasecurity.com&gt;"/>
    <s v="CM-01,CM-02,CM-03,CM-04,CM-05,CM-06,CM-07,CM-08,CM-09,CM-10,CM-11"/>
    <s v="1. Inquiry: CISO, IT Ops, 2. Inspect config mgmt policy, 3. Inspect sample of baselines"/>
    <n v="3"/>
    <n v="5"/>
    <s v="Configuration baselines established for Amazon Linux 2 and Ubuntu. Windows 2012 fileserver remediation planned. Baseline compliance monitored."/>
    <d v="2025-02-01T00:00:00"/>
    <s v="Complete"/>
    <s v="Yes"/>
    <s v="Yes"/>
    <s v="Yes"/>
    <n v="4"/>
    <n v="5"/>
    <s v="Config management policy enforced. Hardened baselines deployed to 95% of systems. Legacy Windows 2012 upgrade project initiated with Q3 completion target."/>
    <d v="2025-04-27T00:00:00"/>
    <s v="Complete"/>
    <s v="Yes"/>
    <s v="Yes"/>
    <s v="Yes"/>
    <n v="6"/>
    <n v="5"/>
    <m/>
    <d v="2025-06-23T00:00:00"/>
    <s v="Submitted"/>
    <s v="No"/>
    <s v="Yes"/>
    <s v="No"/>
    <n v="6"/>
    <n v="5"/>
    <m/>
    <m/>
    <s v="Not Started"/>
    <s v="No"/>
    <s v="No"/>
    <s v="No"/>
    <s v="chris.magann &lt;chris.magann@almasecurity.com&gt;"/>
    <d v="2026-08-31T00:00:00"/>
    <n v="5"/>
    <s v="Complete Windows 2012 fileserver upgrade to supported OS version. Extend hardened baseline deployment to remaining 5% of systems. Implement automated baseline compliance remediation."/>
    <m/>
  </r>
  <r>
    <s v="PR.PS-05 Ex1"/>
    <x v="2"/>
    <s v="Safeguards to manage the organization's cybersecurity risks are used"/>
    <x v="12"/>
    <s v="Platform Security (PR.PS)"/>
    <s v="The hardware, software (e.g., firmware, operating systems, applications), and services of physical and virtual platforms are managed consistent with the organization's risk strategy to protect their confidentiality, integrity, and availability"/>
    <s v="PR.PS-05"/>
    <s v="Installation and execution of unauthorized software are prevented"/>
    <s v="Ex1: When risk warrants it, restrict software execution to permitted products only or deny the execution of prohibited and unauthorized software"/>
    <s v="Unauthorized software prevention is implemented through: (1) SentinelOne application control on workstations and laptops, (2) app control policy defining permitted software, (3) Kubernetes node restrictions (shared SSH key remediation in progress). Server-side controls expand SentinelOne enforcement. Policy exceptions require CISO approval."/>
    <x v="0"/>
    <s v="tigan.wang &lt;tigan.wang@almasecurity.com&gt;"/>
    <s v="jane &lt;jane@almasecurity.com&gt;; john &lt;john@almasecurity.com&gt;"/>
    <s v="steve &lt;steve@almasecurity.com&gt;"/>
    <s v="CM-07(02),CM-07(04),CM-07(05),SC-34"/>
    <s v="1. Inquiry: CISO, IT Ops, 2. Inspect app control policy, 3. Inspect sample of system configs"/>
    <n v="2"/>
    <n v="5"/>
    <s v="SentinelOne deployed on workstations/laptops with application control. Server-side controls being evaluated."/>
    <d v="2025-02-02T00:00:00"/>
    <s v="Complete"/>
    <s v="No"/>
    <s v="Yes"/>
    <s v="Yes"/>
    <n v="4"/>
    <n v="5"/>
    <s v="App control policy approved and deployed. SentinelOne enforcement expanded. Kubernetes node SSH access remediation in progress (shared key to be replaced)."/>
    <d v="2025-04-28T00:00:00"/>
    <s v="Complete"/>
    <s v="Yes"/>
    <s v="Yes"/>
    <s v="Yes"/>
    <n v="7"/>
    <n v="5"/>
    <m/>
    <d v="2025-06-24T00:00:00"/>
    <s v="Submitted"/>
    <s v="No"/>
    <s v="Yes"/>
    <s v="No"/>
    <n v="7"/>
    <n v="5"/>
    <m/>
    <m/>
    <s v="Not Started"/>
    <s v="No"/>
    <s v="No"/>
    <s v="No"/>
    <s v="tigan.wang &lt;tigan.wang@almasecurity.com&gt;"/>
    <d v="2026-08-15T00:00:00"/>
    <n v="5"/>
    <s v="Remediate shared developer SSH key on Kubernetes nodes - issue individual keys per developer. Expand server-side application control deployment. Complete app control policy exception review."/>
    <m/>
  </r>
  <r>
    <s v="RC.RP-03 Ex1"/>
    <x v="5"/>
    <s v="Assets and operations affected by a cybersecurity incident are restored"/>
    <x v="13"/>
    <s v="Incident Recovery Plan Execution (RC.RP)"/>
    <s v="Restoration activities are performed to ensure operational availability of systems and services affected by cybersecurity incidents"/>
    <s v="RC.RP-03"/>
    <s v="The integrity of backups and other restoration assets is verified before using them for restoration"/>
    <s v="Ex1: Check restoration assets for indicators of compromise, file corruption, and other integrity issues before use"/>
    <s v="Backup integrity verification includes: (1) automated checksums for S3 backups, (2) monthly integrity validation by DR Manager, (3) quarterly restore testing to verify recoverability. The S3 Bucket Security project enhances backup protection with versioning and cross-region replication. Restoration assets are checked for IOCs before recovery use."/>
    <x v="0"/>
    <s v="nadia.khan &lt;nadia.khan@almasecurity.com&gt;"/>
    <s v="jane &lt;jane@almasecurity.com&gt;; john &lt;john@almasecurity.com&gt;"/>
    <s v="steve &lt;steve@almasecurity.com&gt;"/>
    <s v="CP-02,CP-04,CP-09"/>
    <s v="1. Inquiry: CISO, DR Manager, 2. Inspect backup verification procedure, 3. Inspect sample of restores"/>
    <n v="2"/>
    <n v="5"/>
    <s v="Backup verification procedures documented. DR Manager validates backup integrity monthly. Manual integrity checks performed."/>
    <d v="2025-02-03T00:00:00"/>
    <s v="Complete"/>
    <s v="Yes"/>
    <s v="Yes"/>
    <s v="No"/>
    <n v="3"/>
    <n v="5"/>
    <s v="Backup integrity verification improved with automated checksums. Restore testing scheduled quarterly. S3 bucket security project enhances backup protection."/>
    <d v="2025-04-29T00:00:00"/>
    <s v="Complete"/>
    <s v="No"/>
    <s v="Yes"/>
    <s v="Yes"/>
    <n v="5.5"/>
    <n v="5"/>
    <m/>
    <d v="2025-06-25T00:00:00"/>
    <s v="Submitted"/>
    <s v="No"/>
    <s v="Yes"/>
    <s v="No"/>
    <n v="5.5"/>
    <n v="5"/>
    <m/>
    <m/>
    <s v="Not Started"/>
    <s v="No"/>
    <s v="No"/>
    <s v="No"/>
    <s v="nadia.khan &lt;nadia.khan@almasecurity.com&gt;"/>
    <d v="2026-10-31T00:00:00"/>
    <n v="5"/>
    <s v="Implement automated IOC scanning for backup restoration assets. Expand quarterly restore testing to cover all critical systems. Complete S3 bucket security project backup protection enhancements."/>
    <m/>
  </r>
  <r>
    <s v="RS.MI-01 Ex1"/>
    <x v="3"/>
    <s v="Actions regarding a detected cybersecurity incident are taken"/>
    <x v="8"/>
    <s v="Incident Mitigation (RS.MI)"/>
    <s v="Activities are performed to prevent expansion of an event and mitigate its effects"/>
    <s v="RS.MI-01"/>
    <s v="Incidents are contained"/>
    <s v="Ex1: Cybersecurity technologies (e.g., antivirus software) and cybersecurity features of other technologies (e.g., operating systems, network infrastructure devices) automatically perform containment actions"/>
    <s v="Incident containment is automated through: (1) SentinelOne automatic quarantine for malware, (2) GuardDuty auto-remediation for select finding types, (3) documented playbooks for manual containment. Common threat patterns trigger automated response. Complex incidents follow manual containment procedures with defined isolation steps."/>
    <x v="0"/>
    <s v="nadia.khan &lt;nadia.khan@almasecurity.com&gt;"/>
    <s v="jane &lt;jane@almasecurity.com&gt;; john &lt;john@almasecurity.com&gt;"/>
    <s v="steve &lt;steve@almasecurity.com&gt;"/>
    <s v="IR-04"/>
    <s v="1. Inquiry: CISO, SOC Manager, 2. Inspect containment configs, 3. Inspect sample of incidents"/>
    <n v="2"/>
    <n v="5"/>
    <s v="SentinelOne provides automated containment for malware. GuardDuty auto-remediation configured for select findings. Incident response playbooks documented."/>
    <d v="2025-02-04T00:00:00"/>
    <s v="Complete"/>
    <s v="Yes"/>
    <s v="Yes"/>
    <s v="Yes"/>
    <n v="3"/>
    <n v="5"/>
    <s v="Containment capabilities expanded. Automated response for common threat patterns. Manual containment procedures well-documented for complex scenarios."/>
    <d v="2025-04-30T00:00:00"/>
    <s v="Complete"/>
    <s v="Yes"/>
    <s v="Yes"/>
    <s v="Yes"/>
    <n v="4"/>
    <n v="5"/>
    <m/>
    <d v="2025-06-26T00:00:00"/>
    <s v="Submitted"/>
    <s v="No"/>
    <s v="Yes"/>
    <s v="No"/>
    <n v="4"/>
    <n v="5"/>
    <m/>
    <m/>
    <s v="Not Started"/>
    <s v="No"/>
    <s v="No"/>
    <s v="No"/>
    <s v="nadia.khan &lt;nadia.khan@almasecurity.com&gt;"/>
    <d v="2026-09-30T00:00:00"/>
    <n v="5"/>
    <s v="Expand GuardDuty auto-remediation to additional finding types. Develop automated containment playbooks for top 10 incident types. Integrate containment actions with SOAR capabilities."/>
    <m/>
  </r>
  <r>
    <s v="DE.AE-03 Ex2"/>
    <x v="4"/>
    <s v="Possible cybersecurity attacks and compromises are found and analyzed"/>
    <x v="9"/>
    <s v="Adverse Event Analysis (DE.AE)"/>
    <s v="Anomalies, indicators of compromise, and other potentially adverse events are analyzed to characterize the events and detect cybersecurity incidents"/>
    <s v="DE.AE-03"/>
    <s v="Information is correlated from multiple sources"/>
    <s v="Ex2: Use event correlation technology (e.g., SIEM) to collect information captured by multiple sources"/>
    <s v="Event correlation uses: (1) CloudTrail aggregating API events across accounts, (2) GuardDuty correlating findings from multiple AWS sources, (3) custom scripts for cross-source analysis. Multi-account GuardDuty findings are centralized. Script updates planned to enhance correlation capabilities across additional sources."/>
    <x v="0"/>
    <s v="nadia.khan &lt;nadia.khan@almasecurity.com&gt;"/>
    <s v="jane &lt;jane@almasecurity.com&gt;"/>
    <s v="steve &lt;steve@almasecurity.com&gt;"/>
    <s v="AU-06,CA-07,IR-04,IR-05,IR-08,PM-16,SI-04"/>
    <m/>
    <n v="2"/>
    <n v="5"/>
    <s v="CloudTrail and GuardDuty provide event correlation. Multiple AWS sources integrated. SIEM-style correlation limited to AWS-native tools."/>
    <d v="2025-02-05T00:00:00"/>
    <s v="Complete"/>
    <s v="No"/>
    <s v="Yes"/>
    <s v="Yes"/>
    <n v="3"/>
    <n v="5"/>
    <s v="Event correlation improving with additional source integration. GuardDuty findings correlated across accounts. Script updates planned for enhanced correlation."/>
    <d v="2025-05-01T00:00:00"/>
    <s v="Complete"/>
    <s v="Yes"/>
    <s v="Yes"/>
    <s v="Yes"/>
    <n v="3"/>
    <n v="5"/>
    <m/>
    <m/>
    <s v="Not Started"/>
    <s v="No"/>
    <s v="No"/>
    <s v="No"/>
    <n v="3"/>
    <n v="5"/>
    <m/>
    <m/>
    <s v="Not Started"/>
    <s v="No"/>
    <s v="No"/>
    <s v="No"/>
    <s v="nadia.khan &lt;nadia.khan@almasecurity.com&gt;"/>
    <d v="2026-10-31T00:00:00"/>
    <n v="5"/>
    <s v="Complete correlation script updates for enhanced cross-source analysis. Integrate additional log sources beyond AWS into correlation engine. Deploy centralized SIEM dashboard for multi-source visibility."/>
    <m/>
  </r>
  <r>
    <s v="DE.CM-03 Ex2"/>
    <x v="4"/>
    <s v="Possible cybersecurity attacks and compromises are found and analyzed"/>
    <x v="10"/>
    <s v="Continuous Monitoring (DE.CM)"/>
    <s v="Assets are monitored to find anomalies, indicators of compromise, and other potentially adverse events"/>
    <s v="DE.CM-03"/>
    <s v="Personnel activity and technology usage are monitored to find potentially adverse events"/>
    <s v="Ex2: Monitor logs from logical access control systems to find unusual access patterns and failed access attempts"/>
    <s v="Personnel activity monitoring includes: (1) CloudTrail logging all IAM actions, (2) SSO authentication logs via Windows Authenticator and Palo Alto 2FA, (3) failed authentication alerting and tracking. The IAM team reviews anomalies daily. SOC dashboards (60% complete) will provide consolidated access pattern visibility."/>
    <x v="0"/>
    <s v="nadia.khan &lt;nadia.khan@almasecurity.com&gt;"/>
    <s v="jane &lt;jane@almasecurity.com&gt;; john &lt;john@almasecurity.com&gt;"/>
    <s v="steve &lt;steve@almasecurity.com&gt;"/>
    <s v="AC-02,AU-12,AU-13,CA-07,CM-10,CM-11"/>
    <s v="1. Inquiry: CISO, IAM Team, 2. Inspect logical monitoring policy, 3. Observe SOC dashboards"/>
    <n v="2"/>
    <n v="5"/>
    <s v="Logical access monitoring via CloudTrail. SSO with Windows Authenticator and Palo Alto 2FA provides authentication logging. IAM team reviews anomalies."/>
    <d v="2025-02-06T00:00:00"/>
    <s v="Complete"/>
    <s v="No"/>
    <s v="Yes"/>
    <s v="Yes"/>
    <n v="3"/>
    <n v="5"/>
    <s v="Access pattern monitoring enhanced. Failed authentication tracking and alerting operational. SOC dashboard development 60% complete."/>
    <d v="2025-05-02T00:00:00"/>
    <s v="Complete"/>
    <s v="No"/>
    <s v="Yes"/>
    <s v="Yes"/>
    <n v="3"/>
    <n v="5"/>
    <m/>
    <m/>
    <s v="Not Started"/>
    <s v="No"/>
    <s v="No"/>
    <s v="No"/>
    <n v="3"/>
    <n v="5"/>
    <m/>
    <m/>
    <s v="Not Started"/>
    <s v="No"/>
    <s v="No"/>
    <s v="No"/>
    <s v="nadia.khan &lt;nadia.khan@almasecurity.com&gt;"/>
    <d v="2026-08-31T00:00:00"/>
    <n v="5"/>
    <s v="Complete SOC dashboard development (currently 60%). Implement automated alerting for anomalous access patterns. Expand failed authentication monitoring to all authentication systems."/>
    <s v="SOC-Ticket-1005"/>
  </r>
  <r>
    <s v="DE.CM-09 Ex1"/>
    <x v="4"/>
    <s v="Possible cybersecurity attacks and compromises are found and analyzed"/>
    <x v="10"/>
    <s v="Continuous Monitoring (DE.CM)"/>
    <s v="Assets are monitored to find anomalies, indicators of compromise, and other potentially adverse events"/>
    <s v="DE.CM-09"/>
    <s v="Computing hardware and software, runtime environments, and their data are monitored to find potentially adverse events"/>
    <s v="Ex1: Monitor email, web, file sharing, collaboration services, and other common attack vectors to detect malware, phishing, data leaks and exfiltration, and other adverse events"/>
    <s v="Computing environment monitoring includes: (1) O365 ATP for email and web traffic with Alma-specific threat rules, (2) Slack monitoring for policy violations, (3) system monitoring policy defining coverage scope. Data leak detection capabilities are evaluated for expansion. Collaboration service monitoring covers Outlook 365 and Slack."/>
    <x v="0"/>
    <s v="tigan.wang &lt;tigan.wang@almasecurity.com&gt;"/>
    <s v="jane &lt;jane@almasecurity.com&gt;; john &lt;john@almasecurity.com&gt;"/>
    <s v="steve &lt;steve@almasecurity.com&gt;"/>
    <s v="AC-04,AC-09,AU-12,CA-07,CM-03,CM-06,CM-10,CM-11,SC-34,SC-35,SI-04,SI-07"/>
    <s v="1. Inquiry: CISO, IT Ops, 2. Inspect system monitoring policy, 3. Observe SOC dashboards"/>
    <n v="2"/>
    <n v="5"/>
    <s v="O365 ATP monitors email/web traffic. Slack communications monitored for policy violations. Data leak detection capabilities being evaluated."/>
    <d v="2025-02-07T00:00:00"/>
    <s v="Complete"/>
    <s v="Yes"/>
    <s v="Yes"/>
    <s v="Yes"/>
    <n v="3"/>
    <n v="5"/>
    <s v="System monitoring policy documented and approved. O365 ATP tuned for Alma-specific threats. Collaboration service monitoring scope expanded."/>
    <d v="2025-05-03T00:00:00"/>
    <s v="Complete"/>
    <s v="Yes"/>
    <s v="Yes"/>
    <s v="Yes"/>
    <n v="3"/>
    <n v="5"/>
    <m/>
    <m/>
    <s v="Not Started"/>
    <s v="No"/>
    <s v="No"/>
    <s v="No"/>
    <n v="3"/>
    <n v="5"/>
    <m/>
    <m/>
    <s v="Not Started"/>
    <s v="No"/>
    <s v="No"/>
    <s v="No"/>
    <s v="tigan.wang &lt;tigan.wang@almasecurity.com&gt;"/>
    <d v="2026-09-30T00:00:00"/>
    <n v="5"/>
    <s v="Deploy data leak detection capabilities. Expand collaboration service monitoring to cover all sanctioned applications. Tune O365 ATP rules based on false positive analysis."/>
    <m/>
  </r>
  <r>
    <s v="ID.AM-02 Ex2"/>
    <x v="1"/>
    <s v="The organization's current cybersecurity risks are understood"/>
    <x v="14"/>
    <s v="Asset Management (ID.AM)"/>
    <s v="Assets (e.g., data, hardware, software, systems, facilities, services, people) that enable the organization to achieve business purposes are identified and managed consistent with their relative importance to organizational objectives and the organization's risk strategy"/>
    <s v="ID.AM-02"/>
    <s v="Inventories of software, services, and systems managed by the organization are maintained"/>
    <s v="Ex2: Constantly monitor all platforms, including containers and virtual machines, for software and service inventory changes"/>
    <s v="Software inventory is maintained through: (1) AWS native tools for cloud asset tracking (85% coverage), (2) discovery scans for on-premises systems, (3) container and VM monitoring via Kubernetes native capabilities. Asset inventory system procurement aligns with ASM vendor selection (STS4) to achieve comprehensive coverage."/>
    <x v="0"/>
    <s v="chris.magann &lt;chris.magann@almasecurity.com&gt;"/>
    <s v="jane &lt;jane@almasecurity.com&gt;; john &lt;john@almasecurity.com&gt;"/>
    <s v="steve &lt;steve@almasecurity.com&gt;"/>
    <s v="AC-20,CM-08,PM-05,SA-05,SA-09"/>
    <s v="1. Inquiry: CISO, CIO, 2. Inspect software inventory, 3. Observe discovery scans"/>
    <n v="2"/>
    <n v="5"/>
    <s v="Software inventory 70% complete. AWS assets tracked via native tools. Asset inventory system requirements documented (STS4)."/>
    <d v="2025-02-08T00:00:00"/>
    <s v="Complete"/>
    <s v="Yes"/>
    <s v="Yes"/>
    <s v="Yes"/>
    <n v="3"/>
    <n v="5"/>
    <s v="Inventory improving with 85% coverage. Cloud assets continuously tracked. Asset inventory system procurement aligned with ASM vendor selection."/>
    <d v="2025-05-04T00:00:00"/>
    <s v="Complete"/>
    <s v="Yes"/>
    <s v="Yes"/>
    <s v="No"/>
    <n v="3"/>
    <n v="5"/>
    <m/>
    <m/>
    <s v="Not Started"/>
    <s v="No"/>
    <s v="No"/>
    <s v="No"/>
    <n v="3"/>
    <n v="5"/>
    <m/>
    <m/>
    <s v="Not Started"/>
    <s v="No"/>
    <s v="No"/>
    <s v="No"/>
    <s v="chris.magann &lt;chris.magann@almasecurity.com&gt;"/>
    <d v="2026-10-31T00:00:00"/>
    <n v="5"/>
    <s v="Complete asset inventory system procurement aligned with ASM vendor (STS4). Achieve 95% software inventory coverage. Implement continuous monitoring for container and VM inventory changes."/>
    <m/>
  </r>
  <r>
    <s v="ID.AM-07 Ex3"/>
    <x v="1"/>
    <s v="The organization's current cybersecurity risks are understood"/>
    <x v="14"/>
    <s v="Asset Management (ID.AM)"/>
    <s v="Assets (e.g., data, hardware, software, systems, facilities, services, people) that enable the organization to achieve business purposes are identified and managed consistent with their relative importance to organizational objectives and the organization's risk strategy"/>
    <s v="ID.AM-07"/>
    <s v="Inventories of data and corresponding metadata for designated data types are maintained"/>
    <s v="Ex3: Assign data classifications to designated data types through tags or labels"/>
    <s v="Data classification uses a tiered schema with biometric data classified as highest sensitivity per SG1. Classification tags are applied through: (1) data classification policy defining categories, (2) tagging implementation in production systems, (3) data scanning tool deployment (selected, scheduling underway). Metadata inventories track designated data types."/>
    <x v="0"/>
    <s v="chris.magann &lt;chris.magann@almasecurity.com&gt;"/>
    <s v="jane &lt;jane@almasecurity.com&gt;; john &lt;john@almasecurity.com&gt;"/>
    <s v="steve &lt;steve@almasecurity.com&gt;"/>
    <s v="CM-12,CM-13,SI-12"/>
    <s v="1. Inquiry: CISO, Data Governance, 2. Inspect data classification policy, 3. Observe data scanning tool"/>
    <n v="2"/>
    <n v="5"/>
    <s v="Data classification policy approved. Biometric data classified as highest sensitivity (SG1). Tagging implementation in pilot phase."/>
    <d v="2025-02-09T00:00:00"/>
    <s v="Complete"/>
    <s v="Yes"/>
    <s v="Yes"/>
    <s v="No"/>
    <n v="3"/>
    <n v="5"/>
    <s v="Classification schema operationalized. Sensitive data types tagged in production systems. Data scanning tool selected and deployment scheduled."/>
    <d v="2025-05-05T00:00:00"/>
    <s v="Complete"/>
    <s v="Yes"/>
    <s v="Yes"/>
    <s v="Yes"/>
    <n v="3"/>
    <n v="5"/>
    <m/>
    <m/>
    <s v="Not Started"/>
    <s v="No"/>
    <s v="No"/>
    <s v="No"/>
    <n v="3"/>
    <n v="5"/>
    <m/>
    <m/>
    <s v="Not Started"/>
    <s v="No"/>
    <s v="No"/>
    <s v="No"/>
    <s v="chris.magann &lt;chris.magann@almasecurity.com&gt;"/>
    <d v="2026-09-30T00:00:00"/>
    <n v="5"/>
    <s v="Complete data scanning tool deployment. Extend classification tagging to all production data stores. Implement automated classification for new data assets. Address biometric data inventory gaps."/>
    <m/>
  </r>
  <r>
    <s v="ID.IM-01 Ex1"/>
    <x v="1"/>
    <s v="The organization's current cybersecurity risks are understood"/>
    <x v="15"/>
    <s v="Improvement (ID.IM)"/>
    <s v="Improvements to organizational cybersecurity risk management processes, procedures and activities are identified across all CSF Functions"/>
    <s v="ID.IM-01"/>
    <s v="Improvements are identified from evaluations"/>
    <s v="Ex1: Perform self-assessments of critical services that take current threats and TTPs into consideration"/>
    <s v="Improvement identification uses: (1) quarterly self-assessments of critical services, (2) threat-informed risk assessments for crown jewel systems, (3) KPI-driven analysis identifying gaps. TTD/TTR metric trends inform security investment decisions. Risk assessment methodology incorporates current threat intelligence and TTPs."/>
    <x v="0"/>
    <s v="chris.magann &lt;chris.magann@almasecurity.com&gt;"/>
    <s v="jane &lt;jane@almasecurity.com&gt;; john &lt;john@almasecurity.com&gt;"/>
    <s v="steve &lt;steve@almasecurity.com&gt;"/>
    <s v="AC-01,AT-01,AU-01,CA-01,CA-02,CA-05,CA-07,CA-08,CM-01,CP-01,CP-02,IA-01,IR-01,IR-04,IR-08,MA-01,MP-01,PE-01,PL-01,PL-02,PM-01,PS-01,PT-01,RA-01,RA-03,RA-05,RA-07,SA-01,SA-08,SA-11,SA-17(06),SC-01,SI-01,SI-02,SI-04,SR-01,SR-05"/>
    <s v="1. Inquiry: CISO, 2. Inspect risk assessment methodology, 3. Inspect sample of risk assessments"/>
    <n v="2"/>
    <n v="5"/>
    <s v="Self-assessment program established. Risk assessment methodology documented. Threat-informed assessments conducted for crown jewel systems."/>
    <d v="2025-02-10T00:00:00"/>
    <s v="Complete"/>
    <s v="Yes"/>
    <s v="Yes"/>
    <s v="No"/>
    <n v="3"/>
    <n v="5"/>
    <s v="Structured risk assessments completed quarterly. KPI-driven improvement identification operational. TTD/TTR trends inform security investments."/>
    <d v="2025-05-06T00:00:00"/>
    <s v="Complete"/>
    <s v="No"/>
    <s v="Yes"/>
    <s v="Yes"/>
    <n v="3"/>
    <n v="5"/>
    <m/>
    <m/>
    <s v="Not Started"/>
    <s v="No"/>
    <s v="No"/>
    <s v="No"/>
    <n v="3"/>
    <n v="5"/>
    <m/>
    <m/>
    <s v="Not Started"/>
    <s v="No"/>
    <s v="No"/>
    <s v="No"/>
    <s v="chris.magann &lt;chris.magann@almasecurity.com&gt;"/>
    <d v="2026-10-31T00:00:00"/>
    <n v="5"/>
    <s v="Formalize self-assessment program with documented schedule. Expand threat-informed assessments beyond crown jewels. Implement improvement tracking dashboard linked to KPI trends."/>
    <m/>
  </r>
  <r>
    <s v="RS.MA-03 Ex2"/>
    <x v="3"/>
    <s v="Actions regarding a detected cybersecurity incident are taken"/>
    <x v="16"/>
    <s v="Incident Management (RS.MA)"/>
    <s v="Responses to detected cybersecurity incidents are managed"/>
    <s v="RS.MA-03"/>
    <s v="Incidents are categorized and prioritized"/>
    <s v="Ex2: Prioritize incidents based on their scope, likely impact, and time-critical nature"/>
    <s v="Incident prioritization uses a documented priority matrix based on: (1) scope of impact, (2) likely business impact, (3) time-critical nature. The SOC Manager validates prioritization decisions. Sample ticket audits verify consistent application. Incident tickets in ServiceNow capture categorization with priority justification."/>
    <x v="0"/>
    <s v="nadia.khan &lt;nadia.khan@almasecurity.com&gt;"/>
    <s v="jane &lt;jane@almasecurity.com&gt;; john &lt;john@almasecurity.com&gt;"/>
    <s v="steve &lt;steve@almasecurity.com&gt;"/>
    <s v="IR-04,IR-05,IR-06"/>
    <s v="1. Inquiry: CISO, SOC Manager, 2. Inspect incident priority matrix, 3. Inspect sample of incident tickets"/>
    <n v="2"/>
    <n v="5"/>
    <s v="Incident priority matrix approved. Scope and impact-based prioritization implemented. Time-critical incident handling procedures documented."/>
    <d v="2025-02-11T00:00:00"/>
    <s v="Complete"/>
    <s v="Yes"/>
    <s v="Yes"/>
    <s v="Yes"/>
    <n v="3"/>
    <n v="5"/>
    <s v="Prioritization process consistently applied. Sample tickets demonstrate proper categorization. SOC Manager reviews validate prioritization decisions."/>
    <d v="2025-05-07T00:00:00"/>
    <s v="Complete"/>
    <s v="No"/>
    <s v="Yes"/>
    <s v="Yes"/>
    <n v="3"/>
    <n v="5"/>
    <m/>
    <m/>
    <s v="Not Started"/>
    <s v="No"/>
    <s v="No"/>
    <s v="No"/>
    <n v="3"/>
    <n v="5"/>
    <m/>
    <m/>
    <s v="Not Started"/>
    <s v="No"/>
    <s v="No"/>
    <s v="No"/>
    <s v="nadia.khan &lt;nadia.khan@almasecurity.com&gt;"/>
    <d v="2026-08-31T00:00:00"/>
    <n v="5"/>
    <s v="Implement automated incident categorization based on detection signatures. Enhance priority matrix with additional impact criteria. Conduct SOC team training on prioritization consistency."/>
    <m/>
  </r>
  <r>
    <s v="DE.AE-02 Ex3"/>
    <x v="4"/>
    <s v="Possible cybersecurity attacks and compromises are found and analyzed"/>
    <x v="9"/>
    <s v="Adverse Event Analysis (DE.AE)"/>
    <s v="Anomalies, indicators of compromise, and other potentially adverse events are analyzed to characterize the events and detect cybersecurity incidents"/>
    <s v="DE.AE-02"/>
    <s v="Potentially adverse events are analyzed to better understand associated activities"/>
    <s v="Ex3: Regularly conduct manual reviews of log events for technologies that cannot be sufficiently monitored through automation"/>
    <s v="Manual log review is performed for systems not covered by automated monitoring: (1) review cadence defined by system criticality, (2) documented review process with finding templates, (3) SIEM console used for manual analysis. Automation gaps are tracked and addressed through tooling investments. Findings are documented with remediation tracking."/>
    <x v="0"/>
    <s v="jane &lt;jane@almasecurity.com&gt;"/>
    <s v="john &lt;john@almasecurity.com&gt;"/>
    <s v="gerry &lt;gerry@almasecurity.com&gt;"/>
    <s v="AU-06,CA-07,IR-04,SI-04"/>
    <m/>
    <n v="2.5"/>
    <n v="5"/>
    <s v="Manual log review process established. Technologies requiring manual review identified. Review cadence defined based on system criticality."/>
    <d v="2025-02-12T00:00:00"/>
    <s v="Complete"/>
    <s v="Yes"/>
    <s v="Yes"/>
    <s v="No"/>
    <n v="6"/>
    <n v="5"/>
    <s v="Manual review process mature with documented findings. SIEM console monitoring enhanced. Automation gaps being addressed through tooling investments."/>
    <d v="2025-05-08T00:00:00"/>
    <s v="Complete"/>
    <s v="Yes"/>
    <s v="Yes"/>
    <s v="No"/>
    <n v="6"/>
    <n v="5"/>
    <m/>
    <m/>
    <s v="Not Started"/>
    <s v="No"/>
    <s v="No"/>
    <s v="No"/>
    <n v="6"/>
    <n v="5"/>
    <m/>
    <m/>
    <s v="Not Started"/>
    <s v="No"/>
    <s v="No"/>
    <s v="No"/>
    <m/>
    <m/>
    <n v="5"/>
    <m/>
    <s v="SIEM console screenshots"/>
  </r>
  <r>
    <s v="DE.AE-08 Ex1"/>
    <x v="4"/>
    <s v="Possible cybersecurity attacks and compromises are found and analyzed"/>
    <x v="9"/>
    <s v="Adverse Event Analysis (DE.AE)"/>
    <s v="Anomalies, indicators of compromise, and other potentially adverse events are analyzed to characterize the events and detect cybersecurity incidents"/>
    <s v="DE.AE-08"/>
    <s v="Incidents are declared when adverse events meet the defined incident criteria"/>
    <s v="Ex1: Apply incident criteria to known and assumed characteristics of activity in order to determine whether an incident should be declared"/>
    <s v="Incident declaration follows documented criteria defining thresholds by severity level. The SOC Manager has authority to declare incidents when adverse events meet criteria. The process includes: (1) applying criteria to event characteristics, (2) documenting declaration rationale in tickets, (3) lessons learned feeding continuous improvement."/>
    <x v="0"/>
    <s v="gerry &lt;gerry@almasecurity.com&gt;"/>
    <s v="jane &lt;jane@almasecurity.com&gt;; john &lt;john@almasecurity.com&gt;"/>
    <s v="steve &lt;steve@almasecurity.com&gt;"/>
    <s v="IR-04,IR-08"/>
    <s v="1. Inquiry: CISO, SOC Manager, 2. Inspect incident criteria, 3. Inspect sample of incident tickets"/>
    <n v="2.5"/>
    <n v="5"/>
    <s v="Incident criteria documented and approved. Declaration thresholds defined by severity level. SOC Manager authorized to declare incidents."/>
    <d v="2025-02-13T00:00:00"/>
    <s v="Complete"/>
    <s v="Yes"/>
    <s v="Yes"/>
    <s v="No"/>
    <n v="6"/>
    <n v="5"/>
    <s v="Criteria consistently applied across all incident types. Sample tickets demonstrate proper declaration process. Continuous improvement through lessons learned."/>
    <d v="2025-05-09T00:00:00"/>
    <s v="Complete"/>
    <s v="Yes"/>
    <s v="Yes"/>
    <s v="Yes"/>
    <n v="6"/>
    <n v="5"/>
    <m/>
    <m/>
    <s v="Not Started"/>
    <s v="No"/>
    <s v="No"/>
    <s v="No"/>
    <n v="6"/>
    <n v="5"/>
    <m/>
    <m/>
    <s v="Not Started"/>
    <s v="No"/>
    <s v="No"/>
    <s v="No"/>
    <m/>
    <m/>
    <n v="5"/>
    <m/>
    <s v="SOC-Ticket-1001"/>
  </r>
  <r>
    <s v="ID.RA-08 Ex1"/>
    <x v="1"/>
    <s v="The organization's current cybersecurity risks are understood"/>
    <x v="5"/>
    <s v="Risk Assessment (ID.RA)"/>
    <s v="The cybersecurity risk to the organization, assets, and individuals is understood by the organization"/>
    <s v="ID.RA-08"/>
    <s v="Processes for receiving, analyzing, and responding to vulnerability disclosures are established"/>
    <s v="Ex1: Conduct vulnerability information sharing between the organization and its suppliers following the rules and protocols defined in contracts"/>
    <s v="Vulnerability disclosure processes include: (1) disclosure policy with defined response SLAs, (2) external disclosure intake via security@almasecurity.com, (3) supplier vulnerability sharing per contract requirements. Disclosures are analyzed, prioritized, and tracked through remediation. Sample disclosures demonstrate SLA compliance."/>
    <x v="0"/>
    <s v="gerry &lt;gerry@almasecurity.com&gt;"/>
    <s v="jane &lt;jane@almasecurity.com&gt;; john &lt;john@almasecurity.com&gt;"/>
    <s v="steve &lt;steve@almasecurity.com&gt;"/>
    <s v="RA-05"/>
    <s v="1. Inquiry: CISO, 2. Inspect vulnerability disclosure policy, 3. Inspect sample of disclosures"/>
    <n v="3"/>
    <n v="5"/>
    <s v="Vulnerability disclosure policy documented. External disclosure handling process established. Supplier disclosure requirements included in contracts."/>
    <d v="2025-02-14T00:00:00"/>
    <s v="Complete"/>
    <s v="Yes"/>
    <s v="Yes"/>
    <s v="No"/>
    <n v="6"/>
    <n v="5"/>
    <s v="Disclosure program mature with defined response SLAs. Supplier vulnerability sharing operational per contract terms. Sample disclosures processed within SLA."/>
    <d v="2025-05-10T00:00:00"/>
    <s v="Complete"/>
    <s v="No"/>
    <s v="Yes"/>
    <s v="Yes"/>
    <n v="6"/>
    <n v="5"/>
    <m/>
    <m/>
    <s v="Not Started"/>
    <s v="No"/>
    <s v="No"/>
    <s v="No"/>
    <n v="6"/>
    <n v="5"/>
    <m/>
    <m/>
    <s v="Not Started"/>
    <s v="No"/>
    <s v="No"/>
    <s v="No"/>
    <m/>
    <m/>
    <n v="5"/>
    <m/>
    <m/>
  </r>
  <r>
    <s v="PR.AA-02 Ex2"/>
    <x v="2"/>
    <s v="Safeguards to manage the organization's cybersecurity risks are used"/>
    <x v="17"/>
    <s v="Identity Management, Authentication, and Access Control (PR.AA)"/>
    <s v="Access to physical and logical assets is limited to authorized users, services, and hardware and  managed commensurate with the assessed risk of unauthorized access"/>
    <s v="PR.AA-02"/>
    <s v="Identities are proofed and bound to credentials based on the context of interactions"/>
    <s v="Ex2: Issue a different credential for each person (i.e., no credential sharing)"/>
    <s v="Identity management enforces credential uniqueness through: (1) no shared accounts policy in Information Security Policy, (2) individual credentials issued via SSO, (3) quarterly privileged access reviews by IAM team. The MFA Rollout project ($80K) supports the Apple Passkey partnership (G8). Shared developer SSH key is identified for Q3 remediation."/>
    <x v="0"/>
    <s v="gerry &lt;gerry@almasecurity.com&gt;"/>
    <s v="jane &lt;jane@almasecurity.com&gt;; john &lt;john@almasecurity.com&gt;"/>
    <s v="steve &lt;steve@almasecurity.com&gt;"/>
    <s v="IA-12"/>
    <s v="1. Inquiry: CISO, IAM Team, 2. Inspect account inventory, 3. Inspect sample of privileged access"/>
    <n v="3"/>
    <n v="5"/>
    <s v="Individual credentials issued to all personnel. No shared accounts policy enforced. MFA rollout project initiated ($80K) supporting G8 partnership requirements."/>
    <d v="2025-02-15T00:00:00"/>
    <s v="Complete"/>
    <s v="Yes"/>
    <s v="Yes"/>
    <s v="No"/>
    <n v="5"/>
    <n v="5"/>
    <s v="Credential uniqueness enforced enterprise-wide. Privileged access reviews completed quarterly. Shared developer SSH key identified for remediation in Q3."/>
    <d v="2025-05-11T00:00:00"/>
    <s v="Complete"/>
    <s v="No"/>
    <s v="Yes"/>
    <s v="Yes"/>
    <n v="5"/>
    <n v="5"/>
    <m/>
    <m/>
    <s v="Not Started"/>
    <s v="No"/>
    <s v="No"/>
    <s v="No"/>
    <n v="5"/>
    <n v="5"/>
    <m/>
    <m/>
    <s v="Not Started"/>
    <s v="No"/>
    <s v="No"/>
    <s v="No"/>
    <m/>
    <m/>
    <n v="5"/>
    <m/>
    <m/>
  </r>
  <r>
    <s v="PR.DS-10 Ex1"/>
    <x v="2"/>
    <s v="Safeguards to manage the organization's cybersecurity risks are used"/>
    <x v="11"/>
    <s v="Data Security (PR.DS)"/>
    <s v="Data are managed consistent with the organization's risk strategy to protect the confidentiality, integrity, and availability of information"/>
    <s v="PR.DS-10"/>
    <s v="The confidentiality, integrity, and availability of data-in-use are protected"/>
    <s v="Ex1: Remove data that must remain confidential (e.g., from processors and memory) as soon as it is no longer needed"/>
    <s v="Data-in-use protection includes: (1) memory handling procedures for sensitive applications, (2) sensitive data retention limits enforced via application controls, (3) source code reviews for crown jewel systems verifying secure data handling. Application owners provide attestations. Biometric data handling receives enhanced scrutiny per SG1."/>
    <x v="0"/>
    <s v="gerry &lt;gerry@almasecurity.com&gt;"/>
    <s v="jane &lt;jane@almasecurity.com&gt;; john &lt;john@almasecurity.com&gt;"/>
    <s v="steve &lt;steve@almasecurity.com&gt;"/>
    <s v="AC-02,AC-03,AC-04,AU-09,AU-13,CA-03,CP-09,SA-08,SC-04,SC-07,SC-11,SC-13,SC-24,SC-32,SC-39,SC-40,SC-43,SI-03,SI-04,SI-07,SI-10,SI-16"/>
    <s v="1. Inquiry: CISO, App Owners, 2. Inspect data handling procedures, 3. Inspect sample of source code"/>
    <n v="3"/>
    <n v="5"/>
    <s v="Data-in-use protection requirements documented. Memory handling procedures established. Source code review process initiated for sensitive applications."/>
    <d v="2025-02-16T00:00:00"/>
    <s v="Complete"/>
    <s v="Yes"/>
    <s v="Yes"/>
    <s v="No"/>
    <n v="5"/>
    <n v="5"/>
    <s v="Data handling procedures enforced. Sensitive data retention limits implemented. Application owner attestations collected. Source code reviews completed for crown jewels."/>
    <d v="2025-05-12T00:00:00"/>
    <s v="Complete"/>
    <s v="Yes"/>
    <s v="Yes"/>
    <s v="Yes"/>
    <n v="5"/>
    <n v="5"/>
    <m/>
    <m/>
    <s v="In Progress"/>
    <s v="No"/>
    <s v="No"/>
    <s v="No"/>
    <n v="5"/>
    <n v="5"/>
    <m/>
    <m/>
    <s v="Not Started"/>
    <s v="No"/>
    <s v="No"/>
    <s v="No"/>
    <m/>
    <m/>
    <n v="5"/>
    <m/>
    <m/>
  </r>
  <r>
    <s v="DE.AE-02 Ex2"/>
    <x v="4"/>
    <s v="Possible cybersecurity attacks and compromises are found and analyzed"/>
    <x v="9"/>
    <s v="Adverse Event Analysis (DE.AE)"/>
    <s v="Anomalies, indicators of compromise, and other potentially adverse events are analyzed to characterize the events and detect cybersecurity incidents"/>
    <s v="DE.AE-02"/>
    <s v="Potentially adverse events are analyzed to better understand associated activities"/>
    <s v="Ex2: Utilize up-to-date cyber threat intelligence in log analysis tools to improve detection accuracy and characterize threat actors, their methods, and indicators of compromise"/>
    <s v="AU-06,CA-07,IR-04,SI-04"/>
    <x v="1"/>
    <m/>
    <m/>
    <m/>
    <s v="AU-06,CA-07,IR-04,SI-04"/>
    <m/>
    <n v="0"/>
    <n v="0"/>
    <m/>
    <m/>
    <s v="Not Started"/>
    <s v="No"/>
    <s v="No"/>
    <s v="No"/>
    <n v="0"/>
    <n v="0"/>
    <m/>
    <m/>
    <s v="Not Started"/>
    <s v="No"/>
    <s v="No"/>
    <s v="No"/>
    <n v="0"/>
    <n v="0"/>
    <m/>
    <m/>
    <s v="Not Started"/>
    <s v="No"/>
    <s v="No"/>
    <s v="No"/>
    <n v="0"/>
    <n v="0"/>
    <m/>
    <m/>
    <s v="Not Started"/>
    <s v="No"/>
    <s v="No"/>
    <s v="No"/>
    <m/>
    <m/>
    <n v="0"/>
    <m/>
    <m/>
  </r>
  <r>
    <s v="DE.AE-02 Ex4"/>
    <x v="4"/>
    <s v="Possible cybersecurity attacks and compromises are found and analyzed"/>
    <x v="9"/>
    <s v="Adverse Event Analysis (DE.AE)"/>
    <s v="Anomalies, indicators of compromise, and other potentially adverse events are analyzed to characterize the events and detect cybersecurity incidents"/>
    <s v="DE.AE-02"/>
    <s v="Potentially adverse events are analyzed to better understand associated activities"/>
    <s v="Ex4: Use log analysis tools to generate reports on their findings"/>
    <s v="AU-06,CA-07,IR-04,SI-04"/>
    <x v="1"/>
    <m/>
    <m/>
    <m/>
    <s v="AU-06,CA-07,IR-04,SI-04"/>
    <m/>
    <n v="0"/>
    <n v="0"/>
    <m/>
    <m/>
    <s v="Not Started"/>
    <s v="No"/>
    <s v="No"/>
    <s v="No"/>
    <n v="0"/>
    <n v="0"/>
    <m/>
    <m/>
    <s v="Not Started"/>
    <s v="No"/>
    <s v="No"/>
    <s v="No"/>
    <n v="0"/>
    <n v="0"/>
    <m/>
    <m/>
    <s v="Not Started"/>
    <s v="No"/>
    <s v="No"/>
    <s v="No"/>
    <n v="0"/>
    <n v="0"/>
    <m/>
    <m/>
    <s v="Not Started"/>
    <s v="No"/>
    <s v="No"/>
    <s v="No"/>
    <m/>
    <m/>
    <n v="0"/>
    <m/>
    <m/>
  </r>
  <r>
    <s v="DE.AE-03 Ex1"/>
    <x v="4"/>
    <s v="Possible cybersecurity attacks and compromises are found and analyzed"/>
    <x v="9"/>
    <s v="Adverse Event Analysis (DE.AE)"/>
    <s v="Anomalies, indicators of compromise, and other potentially adverse events are analyzed to characterize the events and detect cybersecurity incidents"/>
    <s v="DE.AE-03"/>
    <s v="Information is correlated from multiple sources"/>
    <s v="Ex1: Constantly transfer log data generated by other sources to a relatively small number of log servers"/>
    <s v="AU-06,CA-07,IR-04,IR-05,IR-08,PM-16,SI-04"/>
    <x v="1"/>
    <m/>
    <m/>
    <m/>
    <s v="AU-06,CA-07,IR-04,IR-05,IR-08,PM-16,SI-04"/>
    <m/>
    <n v="0"/>
    <n v="0"/>
    <m/>
    <m/>
    <s v="Not Started"/>
    <s v="No"/>
    <s v="No"/>
    <s v="No"/>
    <n v="0"/>
    <n v="0"/>
    <m/>
    <m/>
    <s v="Not Started"/>
    <s v="No"/>
    <s v="No"/>
    <s v="No"/>
    <n v="0"/>
    <n v="0"/>
    <m/>
    <m/>
    <s v="Not Started"/>
    <s v="No"/>
    <s v="No"/>
    <s v="No"/>
    <n v="0"/>
    <n v="0"/>
    <m/>
    <m/>
    <s v="Not Started"/>
    <s v="No"/>
    <s v="No"/>
    <s v="No"/>
    <m/>
    <m/>
    <n v="0"/>
    <m/>
    <m/>
  </r>
  <r>
    <s v="DE.AE-03 Ex3"/>
    <x v="4"/>
    <s v="Possible cybersecurity attacks and compromises are found and analyzed"/>
    <x v="9"/>
    <s v="Adverse Event Analysis (DE.AE)"/>
    <s v="Anomalies, indicators of compromise, and other potentially adverse events are analyzed to characterize the events and detect cybersecurity incidents"/>
    <s v="DE.AE-03"/>
    <s v="Information is correlated from multiple sources"/>
    <s v="Ex3: Utilize cyber threat intelligence to help correlate events among log sources"/>
    <s v="AU-06,CA-07,IR-04,IR-05,IR-08,PM-16,SI-04"/>
    <x v="1"/>
    <m/>
    <m/>
    <m/>
    <s v="AU-06,CA-07,IR-04,IR-05,IR-08,PM-16,SI-04"/>
    <m/>
    <n v="0"/>
    <n v="0"/>
    <m/>
    <m/>
    <s v="Not Started"/>
    <s v="No"/>
    <s v="No"/>
    <s v="No"/>
    <n v="0"/>
    <n v="0"/>
    <m/>
    <m/>
    <s v="Not Started"/>
    <s v="No"/>
    <s v="No"/>
    <s v="No"/>
    <n v="0"/>
    <n v="0"/>
    <m/>
    <m/>
    <s v="Not Started"/>
    <s v="No"/>
    <s v="No"/>
    <s v="No"/>
    <n v="0"/>
    <n v="0"/>
    <m/>
    <m/>
    <s v="Not Started"/>
    <s v="No"/>
    <s v="No"/>
    <s v="No"/>
    <m/>
    <m/>
    <n v="0"/>
    <m/>
    <m/>
  </r>
  <r>
    <s v="DE.AE-04 Ex1"/>
    <x v="4"/>
    <s v="Possible cybersecurity attacks and compromises are found and analyzed"/>
    <x v="9"/>
    <s v="Adverse Event Analysis (DE.AE)"/>
    <s v="Anomalies, indicators of compromise, and other potentially adverse events are analyzed to characterize the events and detect cybersecurity incidents"/>
    <s v="DE.AE-04"/>
    <s v="The estimated impact and scope of adverse events are understood"/>
    <s v="Ex1: Use SIEMs or other tools to estimate impact and scope, and review and refine the estimates"/>
    <s v="PM-09,PM-11,PM-18,PM-28,PM-30"/>
    <x v="1"/>
    <m/>
    <m/>
    <m/>
    <s v="PM-09,PM-11,PM-18,PM-28,PM-30"/>
    <m/>
    <n v="0"/>
    <n v="0"/>
    <m/>
    <m/>
    <s v="Not Started"/>
    <s v="No"/>
    <s v="No"/>
    <s v="No"/>
    <n v="0"/>
    <n v="0"/>
    <m/>
    <m/>
    <s v="Not Started"/>
    <s v="No"/>
    <s v="No"/>
    <s v="No"/>
    <n v="0"/>
    <n v="0"/>
    <m/>
    <m/>
    <s v="Not Started"/>
    <s v="No"/>
    <s v="No"/>
    <s v="No"/>
    <n v="0"/>
    <n v="0"/>
    <m/>
    <m/>
    <s v="Not Started"/>
    <s v="No"/>
    <s v="No"/>
    <s v="No"/>
    <m/>
    <m/>
    <n v="0"/>
    <m/>
    <m/>
  </r>
  <r>
    <s v="DE.AE-04 Ex2"/>
    <x v="4"/>
    <s v="Possible cybersecurity attacks and compromises are found and analyzed"/>
    <x v="9"/>
    <s v="Adverse Event Analysis (DE.AE)"/>
    <s v="Anomalies, indicators of compromise, and other potentially adverse events are analyzed to characterize the events and detect cybersecurity incidents"/>
    <s v="DE.AE-04"/>
    <s v="The estimated impact and scope of adverse events are understood"/>
    <s v="Ex2: A person creates their own estimates of impact and scope"/>
    <s v="PM-09,PM-11,PM-18,PM-28,PM-30"/>
    <x v="1"/>
    <m/>
    <m/>
    <m/>
    <s v="PM-09,PM-11,PM-18,PM-28,PM-30"/>
    <m/>
    <n v="0"/>
    <n v="0"/>
    <m/>
    <m/>
    <s v="Not Started"/>
    <s v="No"/>
    <s v="No"/>
    <s v="No"/>
    <n v="0"/>
    <n v="0"/>
    <m/>
    <m/>
    <s v="Not Started"/>
    <s v="No"/>
    <s v="No"/>
    <s v="No"/>
    <n v="0"/>
    <n v="0"/>
    <m/>
    <m/>
    <s v="Not Started"/>
    <s v="No"/>
    <s v="No"/>
    <s v="No"/>
    <n v="0"/>
    <n v="0"/>
    <m/>
    <m/>
    <s v="Not Started"/>
    <s v="No"/>
    <s v="No"/>
    <s v="No"/>
    <m/>
    <m/>
    <n v="0"/>
    <m/>
    <m/>
  </r>
  <r>
    <s v="DE.AE-06 Ex2"/>
    <x v="4"/>
    <s v="Possible cybersecurity attacks and compromises are found and analyzed"/>
    <x v="9"/>
    <s v="Adverse Event Analysis (DE.AE)"/>
    <s v="Anomalies, indicators of compromise, and other potentially adverse events are analyzed to characterize the events and detect cybersecurity incidents"/>
    <s v="DE.AE-06"/>
    <s v="Information on adverse events is provided to authorized staff and tools"/>
    <s v="Ex2: Incident responders and other authorized personnel can access log analysis findings at all times"/>
    <s v="IR-04,PM-15,PM-16,RA-04,RA-10"/>
    <x v="1"/>
    <m/>
    <m/>
    <m/>
    <s v="IR-04,PM-15,PM-16,RA-04,RA-10"/>
    <m/>
    <n v="0"/>
    <n v="0"/>
    <m/>
    <m/>
    <s v="Not Started"/>
    <s v="No"/>
    <s v="No"/>
    <s v="No"/>
    <n v="0"/>
    <n v="0"/>
    <m/>
    <m/>
    <s v="Not Started"/>
    <s v="No"/>
    <s v="No"/>
    <s v="No"/>
    <n v="0"/>
    <n v="0"/>
    <m/>
    <m/>
    <s v="Not Started"/>
    <s v="No"/>
    <s v="No"/>
    <s v="No"/>
    <n v="0"/>
    <n v="0"/>
    <m/>
    <m/>
    <s v="Not Started"/>
    <s v="No"/>
    <s v="No"/>
    <s v="No"/>
    <m/>
    <m/>
    <n v="0"/>
    <m/>
    <m/>
  </r>
  <r>
    <s v="DE.AE-06 Ex3"/>
    <x v="4"/>
    <s v="Possible cybersecurity attacks and compromises are found and analyzed"/>
    <x v="9"/>
    <s v="Adverse Event Analysis (DE.AE)"/>
    <s v="Anomalies, indicators of compromise, and other potentially adverse events are analyzed to characterize the events and detect cybersecurity incidents"/>
    <s v="DE.AE-06"/>
    <s v="Information on adverse events is provided to authorized staff and tools"/>
    <s v="Ex3: Automatically create and assign tickets in the organization's ticketing system when certain types of alerts occur"/>
    <s v="IR-04,PM-15,PM-16,RA-04,RA-10"/>
    <x v="1"/>
    <m/>
    <m/>
    <m/>
    <s v="IR-04,PM-15,PM-16,RA-04,RA-10"/>
    <m/>
    <n v="0"/>
    <n v="0"/>
    <m/>
    <m/>
    <s v="Not Started"/>
    <s v="No"/>
    <s v="No"/>
    <s v="No"/>
    <n v="0"/>
    <n v="0"/>
    <m/>
    <m/>
    <s v="Not Started"/>
    <s v="No"/>
    <s v="No"/>
    <s v="No"/>
    <n v="0"/>
    <n v="0"/>
    <m/>
    <m/>
    <s v="Not Started"/>
    <s v="No"/>
    <s v="No"/>
    <s v="No"/>
    <n v="0"/>
    <n v="0"/>
    <m/>
    <m/>
    <s v="Not Started"/>
    <s v="No"/>
    <s v="No"/>
    <s v="No"/>
    <m/>
    <m/>
    <n v="0"/>
    <m/>
    <m/>
  </r>
  <r>
    <s v="DE.AE-06 Ex4"/>
    <x v="4"/>
    <s v="Possible cybersecurity attacks and compromises are found and analyzed"/>
    <x v="9"/>
    <s v="Adverse Event Analysis (DE.AE)"/>
    <s v="Anomalies, indicators of compromise, and other potentially adverse events are analyzed to characterize the events and detect cybersecurity incidents"/>
    <s v="DE.AE-06"/>
    <s v="Information on adverse events is provided to authorized staff and tools"/>
    <s v="Ex4: Manually create and assign tickets in the organization's ticketing system when technical staff discover indicators of compromise"/>
    <s v="IR-04,PM-15,PM-16,RA-04,RA-10"/>
    <x v="1"/>
    <m/>
    <m/>
    <m/>
    <s v="IR-04,PM-15,PM-16,RA-04,RA-10"/>
    <m/>
    <n v="0"/>
    <n v="0"/>
    <m/>
    <m/>
    <s v="Not Started"/>
    <s v="No"/>
    <s v="No"/>
    <s v="No"/>
    <n v="0"/>
    <n v="0"/>
    <m/>
    <m/>
    <s v="Not Started"/>
    <s v="No"/>
    <s v="No"/>
    <s v="No"/>
    <n v="0"/>
    <n v="0"/>
    <m/>
    <m/>
    <s v="Not Started"/>
    <s v="No"/>
    <s v="No"/>
    <s v="No"/>
    <n v="0"/>
    <n v="0"/>
    <m/>
    <m/>
    <s v="Not Started"/>
    <s v="No"/>
    <s v="No"/>
    <s v="No"/>
    <m/>
    <m/>
    <n v="0"/>
    <m/>
    <m/>
  </r>
  <r>
    <s v="DE.AE-07 Ex1"/>
    <x v="4"/>
    <s v="Possible cybersecurity attacks and compromises are found and analyzed"/>
    <x v="9"/>
    <s v="Adverse Event Analysis (DE.AE)"/>
    <s v="Anomalies, indicators of compromise, and other potentially adverse events are analyzed to characterize the events and detect cybersecurity incidents"/>
    <s v="DE.AE-07"/>
    <s v="Cyber threat intelligence and other contextual information are integrated into the analysis"/>
    <s v="Ex1: Securely provide cyber threat intelligence feeds to detection technologies, processes, and personnel"/>
    <s v="PM-16,RA-03,RA-10"/>
    <x v="1"/>
    <m/>
    <m/>
    <m/>
    <s v="PM-16,RA-03,RA-10"/>
    <m/>
    <n v="0"/>
    <n v="0"/>
    <m/>
    <m/>
    <s v="Not Started"/>
    <s v="No"/>
    <s v="No"/>
    <s v="No"/>
    <n v="0"/>
    <n v="0"/>
    <m/>
    <m/>
    <s v="Not Started"/>
    <s v="No"/>
    <s v="No"/>
    <s v="No"/>
    <n v="0"/>
    <n v="0"/>
    <m/>
    <m/>
    <s v="Not Started"/>
    <s v="No"/>
    <s v="No"/>
    <s v="No"/>
    <n v="0"/>
    <n v="0"/>
    <m/>
    <m/>
    <s v="Not Started"/>
    <s v="No"/>
    <s v="No"/>
    <s v="No"/>
    <m/>
    <m/>
    <n v="0"/>
    <m/>
    <m/>
  </r>
  <r>
    <s v="DE.AE-07 Ex2"/>
    <x v="4"/>
    <s v="Possible cybersecurity attacks and compromises are found and analyzed"/>
    <x v="9"/>
    <s v="Adverse Event Analysis (DE.AE)"/>
    <s v="Anomalies, indicators of compromise, and other potentially adverse events are analyzed to characterize the events and detect cybersecurity incidents"/>
    <s v="DE.AE-07"/>
    <s v="Cyber threat intelligence and other contextual information are integrated into the analysis"/>
    <s v="Ex2: Securely provide information from asset inventories to detection technologies, processes, and personnel"/>
    <s v="PM-16,RA-03,RA-10"/>
    <x v="1"/>
    <m/>
    <m/>
    <m/>
    <s v="PM-16,RA-03,RA-10"/>
    <m/>
    <n v="0"/>
    <n v="0"/>
    <m/>
    <m/>
    <s v="Not Started"/>
    <s v="No"/>
    <s v="No"/>
    <s v="No"/>
    <n v="0"/>
    <n v="0"/>
    <m/>
    <m/>
    <s v="Not Started"/>
    <s v="No"/>
    <s v="No"/>
    <s v="No"/>
    <n v="0"/>
    <n v="0"/>
    <m/>
    <m/>
    <s v="Not Started"/>
    <s v="No"/>
    <s v="No"/>
    <s v="No"/>
    <n v="0"/>
    <n v="0"/>
    <m/>
    <m/>
    <s v="Not Started"/>
    <s v="No"/>
    <s v="No"/>
    <s v="No"/>
    <m/>
    <m/>
    <n v="0"/>
    <m/>
    <m/>
  </r>
  <r>
    <s v="DE.AE-07 Ex3"/>
    <x v="4"/>
    <s v="Possible cybersecurity attacks and compromises are found and analyzed"/>
    <x v="9"/>
    <s v="Adverse Event Analysis (DE.AE)"/>
    <s v="Anomalies, indicators of compromise, and other potentially adverse events are analyzed to characterize the events and detect cybersecurity incidents"/>
    <s v="DE.AE-07"/>
    <s v="Cyber threat intelligence and other contextual information are integrated into the analysis"/>
    <s v="Ex3: Rapidly acquire and analyze vulnerability disclosures for the organization's technologies from suppliers, vendors, and third-party security advisories"/>
    <s v="PM-16,RA-03,RA-10"/>
    <x v="1"/>
    <m/>
    <m/>
    <m/>
    <s v="PM-16,RA-03,RA-10"/>
    <m/>
    <n v="0"/>
    <n v="0"/>
    <m/>
    <m/>
    <s v="Not Started"/>
    <s v="No"/>
    <s v="No"/>
    <s v="No"/>
    <n v="0"/>
    <n v="0"/>
    <m/>
    <m/>
    <s v="Not Started"/>
    <s v="No"/>
    <s v="No"/>
    <s v="No"/>
    <n v="0"/>
    <n v="0"/>
    <m/>
    <m/>
    <s v="Not Started"/>
    <s v="No"/>
    <s v="No"/>
    <s v="No"/>
    <n v="0"/>
    <n v="0"/>
    <m/>
    <m/>
    <s v="Not Started"/>
    <s v="No"/>
    <s v="No"/>
    <s v="No"/>
    <m/>
    <m/>
    <n v="0"/>
    <m/>
    <m/>
  </r>
  <r>
    <s v="DE.AE-08 Ex2"/>
    <x v="4"/>
    <s v="Possible cybersecurity attacks and compromises are found and analyzed"/>
    <x v="9"/>
    <s v="Adverse Event Analysis (DE.AE)"/>
    <s v="Anomalies, indicators of compromise, and other potentially adverse events are analyzed to characterize the events and detect cybersecurity incidents"/>
    <s v="DE.AE-08"/>
    <s v="Incidents are declared when adverse events meet the defined incident criteria"/>
    <s v="Ex2: Take known false positives into account when applying incident criteria"/>
    <s v="IR-04,IR-08"/>
    <x v="1"/>
    <m/>
    <m/>
    <m/>
    <s v="IR-04,IR-08"/>
    <m/>
    <n v="0"/>
    <n v="0"/>
    <m/>
    <m/>
    <s v="Not Started"/>
    <s v="No"/>
    <s v="No"/>
    <s v="No"/>
    <n v="0"/>
    <n v="0"/>
    <m/>
    <m/>
    <s v="Not Started"/>
    <s v="No"/>
    <s v="No"/>
    <s v="No"/>
    <n v="0"/>
    <n v="0"/>
    <m/>
    <m/>
    <s v="Not Started"/>
    <s v="No"/>
    <s v="No"/>
    <s v="No"/>
    <n v="0"/>
    <n v="0"/>
    <m/>
    <m/>
    <s v="Not Started"/>
    <s v="No"/>
    <s v="No"/>
    <s v="No"/>
    <m/>
    <m/>
    <n v="0"/>
    <m/>
    <m/>
  </r>
  <r>
    <s v="DE.CM-01 Ex2"/>
    <x v="4"/>
    <s v="Possible cybersecurity attacks and compromises are found and analyzed"/>
    <x v="10"/>
    <s v="Continuous Monitoring (DE.CM)"/>
    <s v="Assets are monitored to find anomalies, indicators of compromise, and other potentially adverse events"/>
    <s v="DE.CM-01"/>
    <s v="Networks and network services are monitored to find potentially adverse events"/>
    <s v="Ex2: Monitor wired and wireless networks for connections from unauthorized endpoints"/>
    <s v="AC-02,AU-12,CA-07,CM-03,SC-05,SC-07,SI-04"/>
    <x v="1"/>
    <m/>
    <m/>
    <m/>
    <s v="AC-02,AU-12,CA-07,CM-03,SC-05,SC-07,SI-04"/>
    <m/>
    <n v="0"/>
    <n v="0"/>
    <m/>
    <m/>
    <s v="Not Started"/>
    <s v="No"/>
    <s v="No"/>
    <s v="No"/>
    <n v="0"/>
    <n v="0"/>
    <m/>
    <m/>
    <s v="Not Started"/>
    <s v="No"/>
    <s v="No"/>
    <s v="No"/>
    <n v="0"/>
    <n v="0"/>
    <m/>
    <m/>
    <s v="Not Started"/>
    <s v="No"/>
    <s v="No"/>
    <s v="No"/>
    <n v="0"/>
    <n v="0"/>
    <m/>
    <m/>
    <s v="Not Started"/>
    <s v="No"/>
    <s v="No"/>
    <s v="No"/>
    <m/>
    <m/>
    <n v="0"/>
    <m/>
    <m/>
  </r>
  <r>
    <s v="DE.CM-01 Ex3"/>
    <x v="4"/>
    <s v="Possible cybersecurity attacks and compromises are found and analyzed"/>
    <x v="10"/>
    <s v="Continuous Monitoring (DE.CM)"/>
    <s v="Assets are monitored to find anomalies, indicators of compromise, and other potentially adverse events"/>
    <s v="DE.CM-01"/>
    <s v="Networks and network services are monitored to find potentially adverse events"/>
    <s v="Ex3: Monitor facilities for unauthorized or rogue wireless networks"/>
    <s v="AC-02,AU-12,CA-07,CM-03,SC-05,SC-07,SI-04"/>
    <x v="1"/>
    <m/>
    <m/>
    <m/>
    <s v="AC-02,AU-12,CA-07,CM-03,SC-05,SC-07,SI-04"/>
    <m/>
    <n v="0"/>
    <n v="0"/>
    <m/>
    <m/>
    <s v="Not Started"/>
    <s v="No"/>
    <s v="No"/>
    <s v="No"/>
    <n v="0"/>
    <n v="0"/>
    <m/>
    <m/>
    <s v="Not Started"/>
    <s v="No"/>
    <s v="No"/>
    <s v="No"/>
    <n v="0"/>
    <n v="0"/>
    <m/>
    <m/>
    <s v="Not Started"/>
    <s v="No"/>
    <s v="No"/>
    <s v="No"/>
    <n v="0"/>
    <n v="0"/>
    <m/>
    <m/>
    <s v="Not Started"/>
    <s v="No"/>
    <s v="No"/>
    <s v="No"/>
    <m/>
    <m/>
    <n v="0"/>
    <m/>
    <m/>
  </r>
  <r>
    <s v="DE.CM-01 Ex4"/>
    <x v="4"/>
    <s v="Possible cybersecurity attacks and compromises are found and analyzed"/>
    <x v="10"/>
    <s v="Continuous Monitoring (DE.CM)"/>
    <s v="Assets are monitored to find anomalies, indicators of compromise, and other potentially adverse events"/>
    <s v="DE.CM-01"/>
    <s v="Networks and network services are monitored to find potentially adverse events"/>
    <s v="Ex4: Compare actual network flows against baselines to detect deviations"/>
    <s v="AC-02,AU-12,CA-07,CM-03,SC-05,SC-07,SI-04"/>
    <x v="1"/>
    <m/>
    <m/>
    <m/>
    <s v="AC-02,AU-12,CA-07,CM-03,SC-05,SC-07,SI-04"/>
    <m/>
    <n v="0"/>
    <n v="0"/>
    <m/>
    <m/>
    <s v="Not Started"/>
    <s v="No"/>
    <s v="No"/>
    <s v="No"/>
    <n v="0"/>
    <n v="0"/>
    <m/>
    <m/>
    <s v="Not Started"/>
    <s v="No"/>
    <s v="No"/>
    <s v="No"/>
    <n v="0"/>
    <n v="0"/>
    <m/>
    <m/>
    <s v="Not Started"/>
    <s v="No"/>
    <s v="No"/>
    <s v="No"/>
    <n v="0"/>
    <n v="0"/>
    <m/>
    <m/>
    <s v="Not Started"/>
    <s v="No"/>
    <s v="No"/>
    <s v="No"/>
    <m/>
    <m/>
    <n v="0"/>
    <m/>
    <m/>
  </r>
  <r>
    <s v="DE.CM-01 Ex5"/>
    <x v="4"/>
    <s v="Possible cybersecurity attacks and compromises are found and analyzed"/>
    <x v="10"/>
    <s v="Continuous Monitoring (DE.CM)"/>
    <s v="Assets are monitored to find anomalies, indicators of compromise, and other potentially adverse events"/>
    <s v="DE.CM-01"/>
    <s v="Networks and network services are monitored to find potentially adverse events"/>
    <s v="Ex5: Monitor network communications to identify changes in security postures for zero trust purposes"/>
    <s v="AC-02,AU-12,CA-07,CM-03,SC-05,SC-07,SI-04"/>
    <x v="1"/>
    <m/>
    <m/>
    <m/>
    <s v="AC-02,AU-12,CA-07,CM-03,SC-05,SC-07,SI-04"/>
    <m/>
    <n v="0"/>
    <n v="0"/>
    <m/>
    <m/>
    <s v="Not Started"/>
    <s v="No"/>
    <s v="No"/>
    <s v="No"/>
    <n v="0"/>
    <n v="0"/>
    <m/>
    <m/>
    <s v="Not Started"/>
    <s v="No"/>
    <s v="No"/>
    <s v="No"/>
    <n v="0"/>
    <n v="0"/>
    <m/>
    <m/>
    <s v="Not Started"/>
    <s v="No"/>
    <s v="No"/>
    <s v="No"/>
    <n v="0"/>
    <n v="0"/>
    <m/>
    <m/>
    <s v="Not Started"/>
    <s v="No"/>
    <s v="No"/>
    <s v="No"/>
    <m/>
    <m/>
    <n v="0"/>
    <m/>
    <m/>
  </r>
  <r>
    <s v="DE.CM-02 Ex1"/>
    <x v="4"/>
    <s v="Possible cybersecurity attacks and compromises are found and analyzed"/>
    <x v="10"/>
    <s v="Continuous Monitoring (DE.CM)"/>
    <s v="Assets are monitored to find anomalies, indicators of compromise, and other potentially adverse events"/>
    <s v="DE.CM-02"/>
    <s v="The physical environment is monitored to find potentially adverse events"/>
    <s v="Ex1: Monitor logs from physical access control systems (e.g., badge readers) to find unusual access patterns (e.g., deviations from the norm) and failed access attempts"/>
    <s v="CA-07,PE-03,PE-06,PE-20"/>
    <x v="1"/>
    <m/>
    <m/>
    <m/>
    <s v="CA-07,PE-03,PE-06,PE-20"/>
    <m/>
    <n v="0"/>
    <n v="0"/>
    <m/>
    <m/>
    <s v="Not Started"/>
    <s v="No"/>
    <s v="No"/>
    <s v="No"/>
    <n v="0"/>
    <n v="0"/>
    <m/>
    <m/>
    <s v="Not Started"/>
    <s v="No"/>
    <s v="No"/>
    <s v="No"/>
    <n v="0"/>
    <n v="0"/>
    <m/>
    <m/>
    <s v="Not Started"/>
    <s v="No"/>
    <s v="No"/>
    <s v="No"/>
    <n v="0"/>
    <n v="0"/>
    <m/>
    <m/>
    <s v="Not Started"/>
    <s v="No"/>
    <s v="No"/>
    <s v="No"/>
    <m/>
    <m/>
    <n v="0"/>
    <m/>
    <m/>
  </r>
  <r>
    <s v="DE.CM-02 Ex2"/>
    <x v="4"/>
    <s v="Possible cybersecurity attacks and compromises are found and analyzed"/>
    <x v="10"/>
    <s v="Continuous Monitoring (DE.CM)"/>
    <s v="Assets are monitored to find anomalies, indicators of compromise, and other potentially adverse events"/>
    <s v="DE.CM-02"/>
    <s v="The physical environment is monitored to find potentially adverse events"/>
    <s v="Ex2: Review and monitor physical access records (e.g., from visitor registration, sign-in sheets)"/>
    <s v="CA-07,PE-03,PE-06,PE-20"/>
    <x v="1"/>
    <m/>
    <m/>
    <m/>
    <s v="CA-07,PE-03,PE-06,PE-20"/>
    <m/>
    <n v="0"/>
    <n v="0"/>
    <m/>
    <m/>
    <s v="Not Started"/>
    <s v="No"/>
    <s v="No"/>
    <s v="No"/>
    <n v="0"/>
    <n v="0"/>
    <m/>
    <m/>
    <s v="Not Started"/>
    <s v="No"/>
    <s v="No"/>
    <s v="No"/>
    <n v="0"/>
    <n v="0"/>
    <m/>
    <m/>
    <s v="Not Started"/>
    <s v="No"/>
    <s v="No"/>
    <s v="No"/>
    <n v="0"/>
    <n v="0"/>
    <m/>
    <m/>
    <s v="Not Started"/>
    <s v="No"/>
    <s v="No"/>
    <s v="No"/>
    <m/>
    <m/>
    <n v="0"/>
    <m/>
    <m/>
  </r>
  <r>
    <s v="DE.CM-02 Ex3"/>
    <x v="4"/>
    <s v="Possible cybersecurity attacks and compromises are found and analyzed"/>
    <x v="10"/>
    <s v="Continuous Monitoring (DE.CM)"/>
    <s v="Assets are monitored to find anomalies, indicators of compromise, and other potentially adverse events"/>
    <s v="DE.CM-02"/>
    <s v="The physical environment is monitored to find potentially adverse events"/>
    <s v="Ex3: Monitor physical access controls (e.g., locks, latches, hinge pins, alarms) for signs of tampering"/>
    <s v="CA-07,PE-03,PE-06,PE-20"/>
    <x v="1"/>
    <m/>
    <m/>
    <m/>
    <s v="CA-07,PE-03,PE-06,PE-20"/>
    <m/>
    <n v="0"/>
    <n v="0"/>
    <m/>
    <m/>
    <s v="Not Started"/>
    <s v="No"/>
    <s v="No"/>
    <s v="No"/>
    <n v="0"/>
    <n v="0"/>
    <m/>
    <m/>
    <s v="Not Started"/>
    <s v="No"/>
    <s v="No"/>
    <s v="No"/>
    <n v="0"/>
    <n v="0"/>
    <m/>
    <m/>
    <s v="Not Started"/>
    <s v="No"/>
    <s v="No"/>
    <s v="No"/>
    <n v="0"/>
    <n v="0"/>
    <m/>
    <m/>
    <s v="Not Started"/>
    <s v="No"/>
    <s v="No"/>
    <s v="No"/>
    <m/>
    <m/>
    <n v="0"/>
    <m/>
    <m/>
  </r>
  <r>
    <s v="DE.CM-02 Ex4"/>
    <x v="4"/>
    <s v="Possible cybersecurity attacks and compromises are found and analyzed"/>
    <x v="10"/>
    <s v="Continuous Monitoring (DE.CM)"/>
    <s v="Assets are monitored to find anomalies, indicators of compromise, and other potentially adverse events"/>
    <s v="DE.CM-02"/>
    <s v="The physical environment is monitored to find potentially adverse events"/>
    <s v="Ex4: Monitor the physical environment using alarm systems, cameras, and security guards"/>
    <s v="CA-07,PE-03,PE-06,PE-20"/>
    <x v="1"/>
    <m/>
    <m/>
    <m/>
    <s v="CA-07,PE-03,PE-06,PE-20"/>
    <m/>
    <n v="0"/>
    <n v="0"/>
    <m/>
    <m/>
    <s v="Not Started"/>
    <s v="No"/>
    <s v="No"/>
    <s v="No"/>
    <n v="0"/>
    <n v="0"/>
    <m/>
    <m/>
    <s v="Not Started"/>
    <s v="No"/>
    <s v="No"/>
    <s v="No"/>
    <n v="0"/>
    <n v="0"/>
    <m/>
    <m/>
    <s v="Not Started"/>
    <s v="No"/>
    <s v="No"/>
    <s v="No"/>
    <n v="0"/>
    <n v="0"/>
    <m/>
    <m/>
    <s v="Not Started"/>
    <s v="No"/>
    <s v="No"/>
    <s v="No"/>
    <m/>
    <m/>
    <n v="0"/>
    <m/>
    <m/>
  </r>
  <r>
    <s v="DE.CM-03 Ex1"/>
    <x v="4"/>
    <s v="Possible cybersecurity attacks and compromises are found and analyzed"/>
    <x v="10"/>
    <s v="Continuous Monitoring (DE.CM)"/>
    <s v="Assets are monitored to find anomalies, indicators of compromise, and other potentially adverse events"/>
    <s v="DE.CM-03"/>
    <s v="Personnel activity and technology usage are monitored to find potentially adverse events"/>
    <s v="Ex1: Use behavior analytics software to detect anomalous user activity to mitigate insider threats"/>
    <s v="AC-02,AU-12,AU-13,CA-07,CM-10,CM-11"/>
    <x v="1"/>
    <m/>
    <m/>
    <m/>
    <s v="AC-02,AU-12,AU-13,CA-07,CM-10,CM-11"/>
    <m/>
    <n v="0"/>
    <n v="0"/>
    <m/>
    <m/>
    <s v="Not Started"/>
    <s v="No"/>
    <s v="No"/>
    <s v="No"/>
    <n v="0"/>
    <n v="0"/>
    <m/>
    <m/>
    <s v="Not Started"/>
    <s v="No"/>
    <s v="No"/>
    <s v="No"/>
    <n v="0"/>
    <n v="0"/>
    <m/>
    <m/>
    <s v="Not Started"/>
    <s v="No"/>
    <s v="No"/>
    <s v="No"/>
    <n v="0"/>
    <n v="0"/>
    <m/>
    <m/>
    <s v="Not Started"/>
    <s v="No"/>
    <s v="No"/>
    <s v="No"/>
    <m/>
    <m/>
    <n v="0"/>
    <m/>
    <m/>
  </r>
  <r>
    <s v="DE.CM-03 Ex3"/>
    <x v="4"/>
    <s v="Possible cybersecurity attacks and compromises are found and analyzed"/>
    <x v="10"/>
    <s v="Continuous Monitoring (DE.CM)"/>
    <s v="Assets are monitored to find anomalies, indicators of compromise, and other potentially adverse events"/>
    <s v="DE.CM-03"/>
    <s v="Personnel activity and technology usage are monitored to find potentially adverse events"/>
    <s v="Ex3: Continuously monitor deception technology, including user accounts, for any usage"/>
    <s v="AC-02,AU-12,AU-13,CA-07,CM-10,CM-11"/>
    <x v="1"/>
    <m/>
    <m/>
    <m/>
    <s v="AC-02,AU-12,AU-13,CA-07,CM-10,CM-11"/>
    <m/>
    <n v="0"/>
    <n v="0"/>
    <m/>
    <m/>
    <s v="Not Started"/>
    <s v="No"/>
    <s v="No"/>
    <s v="No"/>
    <n v="0"/>
    <n v="0"/>
    <m/>
    <m/>
    <s v="Not Started"/>
    <s v="No"/>
    <s v="No"/>
    <s v="No"/>
    <n v="0"/>
    <n v="0"/>
    <m/>
    <m/>
    <s v="Not Started"/>
    <s v="No"/>
    <s v="No"/>
    <s v="No"/>
    <n v="0"/>
    <n v="0"/>
    <m/>
    <m/>
    <s v="Not Started"/>
    <s v="No"/>
    <s v="No"/>
    <s v="No"/>
    <m/>
    <m/>
    <n v="0"/>
    <m/>
    <m/>
  </r>
  <r>
    <s v="DE.CM-06 Ex1"/>
    <x v="4"/>
    <s v="Possible cybersecurity attacks and compromises are found and analyzed"/>
    <x v="10"/>
    <s v="Continuous Monitoring (DE.CM)"/>
    <s v="Assets are monitored to find anomalies, indicators of compromise, and other potentially adverse events"/>
    <s v="DE.CM-06"/>
    <s v="External service provider activities and services are monitored to find potentially adverse events"/>
    <s v="Ex1: Monitor remote and onsite administration and maintenance activities that external providers perform on organizational systems"/>
    <s v="CA-07,PS-07,SA-04,SA-09,SI-04"/>
    <x v="1"/>
    <m/>
    <m/>
    <m/>
    <s v="CA-07,PS-07,SA-04,SA-09,SI-04"/>
    <m/>
    <n v="0"/>
    <n v="0"/>
    <m/>
    <m/>
    <s v="Not Started"/>
    <s v="No"/>
    <s v="No"/>
    <s v="No"/>
    <n v="0"/>
    <n v="0"/>
    <m/>
    <m/>
    <s v="Not Started"/>
    <s v="No"/>
    <s v="No"/>
    <s v="No"/>
    <n v="0"/>
    <n v="0"/>
    <m/>
    <m/>
    <s v="Not Started"/>
    <s v="No"/>
    <s v="No"/>
    <s v="No"/>
    <n v="0"/>
    <n v="0"/>
    <m/>
    <m/>
    <s v="Not Started"/>
    <s v="No"/>
    <s v="No"/>
    <s v="No"/>
    <m/>
    <m/>
    <n v="0"/>
    <m/>
    <m/>
  </r>
  <r>
    <s v="DE.CM-06 Ex2"/>
    <x v="4"/>
    <s v="Possible cybersecurity attacks and compromises are found and analyzed"/>
    <x v="10"/>
    <s v="Continuous Monitoring (DE.CM)"/>
    <s v="Assets are monitored to find anomalies, indicators of compromise, and other potentially adverse events"/>
    <s v="DE.CM-06"/>
    <s v="External service provider activities and services are monitored to find potentially adverse events"/>
    <s v="Ex2: Monitor activity from cloud-based services, internet service providers, and other service providers for deviations from expected behavior"/>
    <s v="CA-07,PS-07,SA-04,SA-09,SI-04"/>
    <x v="1"/>
    <m/>
    <m/>
    <m/>
    <s v="CA-07,PS-07,SA-04,SA-09,SI-04"/>
    <m/>
    <n v="0"/>
    <n v="0"/>
    <m/>
    <m/>
    <s v="Not Started"/>
    <s v="No"/>
    <s v="No"/>
    <s v="No"/>
    <n v="0"/>
    <n v="0"/>
    <m/>
    <m/>
    <s v="Not Started"/>
    <s v="No"/>
    <s v="No"/>
    <s v="No"/>
    <n v="0"/>
    <n v="0"/>
    <m/>
    <m/>
    <s v="Not Started"/>
    <s v="No"/>
    <s v="No"/>
    <s v="No"/>
    <n v="0"/>
    <n v="0"/>
    <m/>
    <m/>
    <s v="Not Started"/>
    <s v="No"/>
    <s v="No"/>
    <s v="No"/>
    <m/>
    <m/>
    <n v="0"/>
    <m/>
    <m/>
  </r>
  <r>
    <s v="DE.CM-09 Ex2"/>
    <x v="4"/>
    <s v="Possible cybersecurity attacks and compromises are found and analyzed"/>
    <x v="10"/>
    <s v="Continuous Monitoring (DE.CM)"/>
    <s v="Assets are monitored to find anomalies, indicators of compromise, and other potentially adverse events"/>
    <s v="DE.CM-09"/>
    <s v="Computing hardware and software, runtime environments, and their data are monitored to find potentially adverse events"/>
    <s v="Ex2: Monitor authentication attempts to identify attacks against credentials and unauthorized credential reuse"/>
    <s v="AC-04,AC-09,AU-12,CA-07,CM-03,CM-06,CM-10,CM-11,SC-34,SC-35,SI-04,SI-07"/>
    <x v="1"/>
    <m/>
    <m/>
    <m/>
    <s v="AC-04,AC-09,AU-12,CA-07,CM-03,CM-06,CM-10,CM-11,SC-34,SC-35,SI-04,SI-07"/>
    <m/>
    <n v="0"/>
    <n v="0"/>
    <m/>
    <m/>
    <s v="Not Started"/>
    <s v="No"/>
    <s v="No"/>
    <s v="No"/>
    <n v="0"/>
    <n v="0"/>
    <m/>
    <m/>
    <s v="Not Started"/>
    <s v="No"/>
    <s v="No"/>
    <s v="No"/>
    <n v="0"/>
    <n v="0"/>
    <m/>
    <m/>
    <s v="Not Started"/>
    <s v="No"/>
    <s v="No"/>
    <s v="No"/>
    <n v="0"/>
    <n v="0"/>
    <m/>
    <m/>
    <s v="Not Started"/>
    <s v="No"/>
    <s v="No"/>
    <s v="No"/>
    <m/>
    <m/>
    <n v="0"/>
    <m/>
    <m/>
  </r>
  <r>
    <s v="DE.CM-09 Ex3"/>
    <x v="4"/>
    <s v="Possible cybersecurity attacks and compromises are found and analyzed"/>
    <x v="10"/>
    <s v="Continuous Monitoring (DE.CM)"/>
    <s v="Assets are monitored to find anomalies, indicators of compromise, and other potentially adverse events"/>
    <s v="DE.CM-09"/>
    <s v="Computing hardware and software, runtime environments, and their data are monitored to find potentially adverse events"/>
    <s v="Ex3: Monitor software configurations for deviations from security baselines"/>
    <s v="AC-04,AC-09,AU-12,CA-07,CM-03,CM-06,CM-10,CM-11,SC-34,SC-35,SI-04,SI-07"/>
    <x v="1"/>
    <m/>
    <m/>
    <m/>
    <s v="AC-04,AC-09,AU-12,CA-07,CM-03,CM-06,CM-10,CM-11,SC-34,SC-35,SI-04,SI-07"/>
    <m/>
    <n v="0"/>
    <n v="0"/>
    <m/>
    <m/>
    <s v="Not Started"/>
    <s v="No"/>
    <s v="No"/>
    <s v="No"/>
    <n v="0"/>
    <n v="0"/>
    <m/>
    <m/>
    <s v="Not Started"/>
    <s v="No"/>
    <s v="No"/>
    <s v="No"/>
    <n v="0"/>
    <n v="0"/>
    <m/>
    <m/>
    <s v="Not Started"/>
    <s v="No"/>
    <s v="No"/>
    <s v="No"/>
    <n v="0"/>
    <n v="0"/>
    <m/>
    <m/>
    <s v="Not Started"/>
    <s v="No"/>
    <s v="No"/>
    <s v="No"/>
    <m/>
    <m/>
    <n v="0"/>
    <m/>
    <m/>
  </r>
  <r>
    <s v="DE.CM-09 Ex4"/>
    <x v="4"/>
    <s v="Possible cybersecurity attacks and compromises are found and analyzed"/>
    <x v="10"/>
    <s v="Continuous Monitoring (DE.CM)"/>
    <s v="Assets are monitored to find anomalies, indicators of compromise, and other potentially adverse events"/>
    <s v="DE.CM-09"/>
    <s v="Computing hardware and software, runtime environments, and their data are monitored to find potentially adverse events"/>
    <s v="Ex4: Monitor hardware and software for signs of tampering"/>
    <s v="AC-04,AC-09,AU-12,CA-07,CM-03,CM-06,CM-10,CM-11,SC-34,SC-35,SI-04,SI-07"/>
    <x v="1"/>
    <m/>
    <m/>
    <m/>
    <s v="AC-04,AC-09,AU-12,CA-07,CM-03,CM-06,CM-10,CM-11,SC-34,SC-35,SI-04,SI-07"/>
    <m/>
    <n v="0"/>
    <n v="0"/>
    <m/>
    <m/>
    <s v="Not Started"/>
    <s v="No"/>
    <s v="No"/>
    <s v="No"/>
    <n v="0"/>
    <n v="0"/>
    <m/>
    <m/>
    <s v="Not Started"/>
    <s v="No"/>
    <s v="No"/>
    <s v="No"/>
    <n v="0"/>
    <n v="0"/>
    <m/>
    <m/>
    <s v="Not Started"/>
    <s v="No"/>
    <s v="No"/>
    <s v="No"/>
    <n v="0"/>
    <n v="0"/>
    <m/>
    <m/>
    <s v="Not Started"/>
    <s v="No"/>
    <s v="No"/>
    <s v="No"/>
    <m/>
    <m/>
    <n v="0"/>
    <m/>
    <m/>
  </r>
  <r>
    <s v="DE.CM-09 Ex5"/>
    <x v="4"/>
    <s v="Possible cybersecurity attacks and compromises are found and analyzed"/>
    <x v="10"/>
    <s v="Continuous Monitoring (DE.CM)"/>
    <s v="Assets are monitored to find anomalies, indicators of compromise, and other potentially adverse events"/>
    <s v="DE.CM-09"/>
    <s v="Computing hardware and software, runtime environments, and their data are monitored to find potentially adverse events"/>
    <s v="Ex5: Use technologies with a presence on endpoints to detect cyber health issues (e.g., missing patches, malware infections, unauthorized software), and redirect the endpoints to a remediation environment before access is authorized"/>
    <s v="AC-04,AC-09,AU-12,CA-07,CM-03,CM-06,CM-10,CM-11,SC-34,SC-35,SI-04,SI-07"/>
    <x v="1"/>
    <m/>
    <m/>
    <m/>
    <s v="AC-04,AC-09,AU-12,CA-07,CM-03,CM-06,CM-10,CM-11,SC-34,SC-35,SI-04,SI-07"/>
    <m/>
    <n v="0"/>
    <n v="0"/>
    <m/>
    <m/>
    <s v="Not Started"/>
    <s v="No"/>
    <s v="No"/>
    <s v="No"/>
    <n v="0"/>
    <n v="0"/>
    <m/>
    <m/>
    <s v="Not Started"/>
    <s v="No"/>
    <s v="No"/>
    <s v="No"/>
    <n v="0"/>
    <n v="0"/>
    <m/>
    <m/>
    <s v="Not Started"/>
    <s v="No"/>
    <s v="No"/>
    <s v="No"/>
    <n v="0"/>
    <n v="0"/>
    <m/>
    <m/>
    <s v="Not Started"/>
    <s v="No"/>
    <s v="No"/>
    <s v="No"/>
    <m/>
    <m/>
    <n v="0"/>
    <m/>
    <m/>
  </r>
  <r>
    <s v="GV.OC-02 Ex2"/>
    <x v="0"/>
    <s v="The organization's cybersecurity risk management strategy, expectations, and policy are established, communicated, and monitored"/>
    <x v="1"/>
    <s v="Organizational Context (GV.OC)"/>
    <s v="The circumstances - mission, stakeholder expectations, dependencies, and legal, regulatory, and contractual requirements - surrounding the organization's cybersecurity risk management decisions are understood"/>
    <s v="GV.OC-02"/>
    <s v="Internal and external stakeholders are understood, and their needs and expectations regarding cybersecurity risk management are understood and considered"/>
    <s v="Ex2: Identify relevant external stakeholders and their cybersecurity-related expectations (e.g., privacy expectations of customers, business expectations of partnerships, compliance expectations of regulators, ethics expectations of society)"/>
    <s v="PM-09,PM-18,PM-30,SR-03,SR-05,SR-06,SR-08"/>
    <x v="1"/>
    <m/>
    <m/>
    <m/>
    <s v="PM-09,PM-18,PM-30,SR-03,SR-05,SR-06,SR-08"/>
    <m/>
    <n v="0"/>
    <n v="0"/>
    <m/>
    <m/>
    <s v="Not Started"/>
    <s v="No"/>
    <s v="No"/>
    <s v="No"/>
    <n v="0"/>
    <n v="0"/>
    <m/>
    <m/>
    <s v="Not Started"/>
    <s v="No"/>
    <s v="No"/>
    <s v="No"/>
    <n v="0"/>
    <n v="0"/>
    <m/>
    <m/>
    <s v="Not Started"/>
    <s v="No"/>
    <s v="No"/>
    <s v="No"/>
    <n v="0"/>
    <n v="0"/>
    <m/>
    <m/>
    <s v="Not Started"/>
    <s v="No"/>
    <s v="No"/>
    <s v="No"/>
    <m/>
    <m/>
    <n v="0"/>
    <m/>
    <m/>
  </r>
  <r>
    <s v="GV.OC-03 Ex1"/>
    <x v="0"/>
    <s v="The organization's cybersecurity risk management strategy, expectations, and policy are established, communicated, and monitored"/>
    <x v="1"/>
    <s v="Organizational Context (GV.OC)"/>
    <s v="The circumstances - mission, stakeholder expectations, dependencies, and legal, regulatory, and contractual requirements - surrounding the organization's cybersecurity risk management decisions are understood"/>
    <s v="GV.OC-03"/>
    <s v="Legal, regulatory, and contractual requirements regarding cybersecurity - including privacy and civil liberties obligations - are understood and managed"/>
    <s v="Ex1: Determine a process to track and manage legal and regulatory requirements regarding protection of individuals' information (e.g., Health Insurance Portability and Accountability Act, California Consumer Privacy Act, General Data Protection Regulation)"/>
    <s v="AC-01,AT-01,AU-01,CA-01,CM-01,CP-01,IA-01,IR-01,MA-01,MP-01,PE-01,PL-01,PM-01,PM-28,PS-01,PT,PT-01,RA-01,SA-01,SC-01,SI-01,SR-01"/>
    <x v="1"/>
    <m/>
    <m/>
    <m/>
    <s v="AC-01,AT-01,AU-01,CA-01,CM-01,CP-01,IA-01,IR-01,MA-01,MP-01,PE-01,PL-01,PM-01,PM-28,PS-01,PT,PT-01,RA-01,SA-01,SC-01,SI-01,SR-01"/>
    <m/>
    <n v="0"/>
    <n v="0"/>
    <m/>
    <m/>
    <s v="Not Started"/>
    <s v="No"/>
    <s v="No"/>
    <s v="No"/>
    <n v="0"/>
    <n v="0"/>
    <m/>
    <m/>
    <s v="Not Started"/>
    <s v="No"/>
    <s v="No"/>
    <s v="No"/>
    <n v="0"/>
    <n v="0"/>
    <m/>
    <m/>
    <s v="Not Started"/>
    <s v="No"/>
    <s v="No"/>
    <s v="No"/>
    <n v="0"/>
    <n v="0"/>
    <m/>
    <m/>
    <s v="Not Started"/>
    <s v="No"/>
    <s v="No"/>
    <s v="No"/>
    <m/>
    <m/>
    <n v="0"/>
    <m/>
    <m/>
  </r>
  <r>
    <s v="GV.OC-03 Ex2"/>
    <x v="0"/>
    <s v="The organization's cybersecurity risk management strategy, expectations, and policy are established, communicated, and monitored"/>
    <x v="1"/>
    <s v="Organizational Context (GV.OC)"/>
    <s v="The circumstances - mission, stakeholder expectations, dependencies, and legal, regulatory, and contractual requirements - surrounding the organization's cybersecurity risk management decisions are understood"/>
    <s v="GV.OC-03"/>
    <s v="Legal, regulatory, and contractual requirements regarding cybersecurity - including privacy and civil liberties obligations - are understood and managed"/>
    <s v="Ex2: Determine a process to track and manage contractual requirements for cybersecurity management of supplier, customer, and partner information"/>
    <s v="AC-01,AT-01,AU-01,CA-01,CM-01,CP-01,IA-01,IR-01,MA-01,MP-01,PE-01,PL-01,PM-01,PM-28,PS-01,PT,PT-01,RA-01,SA-01,SC-01,SI-01,SR-01"/>
    <x v="1"/>
    <m/>
    <m/>
    <m/>
    <s v="AC-01,AT-01,AU-01,CA-01,CM-01,CP-01,IA-01,IR-01,MA-01,MP-01,PE-01,PL-01,PM-01,PM-28,PS-01,PT,PT-01,RA-01,SA-01,SC-01,SI-01,SR-01"/>
    <m/>
    <n v="0"/>
    <n v="0"/>
    <m/>
    <m/>
    <s v="Not Started"/>
    <s v="No"/>
    <s v="No"/>
    <s v="No"/>
    <n v="0"/>
    <n v="0"/>
    <m/>
    <m/>
    <s v="Not Started"/>
    <s v="No"/>
    <s v="No"/>
    <s v="No"/>
    <n v="0"/>
    <n v="0"/>
    <m/>
    <m/>
    <s v="Not Started"/>
    <s v="No"/>
    <s v="No"/>
    <s v="No"/>
    <n v="0"/>
    <n v="0"/>
    <m/>
    <m/>
    <s v="Not Started"/>
    <s v="No"/>
    <s v="No"/>
    <s v="No"/>
    <m/>
    <m/>
    <n v="0"/>
    <m/>
    <m/>
  </r>
  <r>
    <s v="GV.OC-03 Ex3"/>
    <x v="0"/>
    <s v="The organization's cybersecurity risk management strategy, expectations, and policy are established, communicated, and monitored"/>
    <x v="1"/>
    <s v="Organizational Context (GV.OC)"/>
    <s v="The circumstances - mission, stakeholder expectations, dependencies, and legal, regulatory, and contractual requirements - surrounding the organization's cybersecurity risk management decisions are understood"/>
    <s v="GV.OC-03"/>
    <s v="Legal, regulatory, and contractual requirements regarding cybersecurity - including privacy and civil liberties obligations - are understood and managed"/>
    <s v="Ex3: Align the organization's cybersecurity strategy with legal, regulatory, and contractual requirements"/>
    <s v="AC-01,AT-01,AU-01,CA-01,CM-01,CP-01,IA-01,IR-01,MA-01,MP-01,PE-01,PL-01,PM-01,PM-28,PS-01,PT,PT-01,RA-01,SA-01,SC-01,SI-01,SR-01"/>
    <x v="1"/>
    <m/>
    <m/>
    <m/>
    <s v="AC-01,AT-01,AU-01,CA-01,CM-01,CP-01,IA-01,IR-01,MA-01,MP-01,PE-01,PL-01,PM-01,PM-28,PS-01,PT,PT-01,RA-01,SA-01,SC-01,SI-01,SR-01"/>
    <m/>
    <n v="0"/>
    <n v="0"/>
    <m/>
    <m/>
    <s v="Not Started"/>
    <s v="No"/>
    <s v="No"/>
    <s v="No"/>
    <n v="0"/>
    <n v="0"/>
    <m/>
    <m/>
    <s v="Not Started"/>
    <s v="No"/>
    <s v="No"/>
    <s v="No"/>
    <n v="0"/>
    <n v="0"/>
    <m/>
    <m/>
    <s v="Not Started"/>
    <s v="No"/>
    <s v="No"/>
    <s v="No"/>
    <n v="0"/>
    <n v="0"/>
    <m/>
    <m/>
    <s v="Not Started"/>
    <s v="No"/>
    <s v="No"/>
    <s v="No"/>
    <m/>
    <m/>
    <n v="0"/>
    <m/>
    <m/>
  </r>
  <r>
    <s v="GV.OC-04 Ex1"/>
    <x v="0"/>
    <s v="The organization's cybersecurity risk management strategy, expectations, and policy are established, communicated, and monitored"/>
    <x v="1"/>
    <s v="Organizational Context (GV.OC)"/>
    <s v="The circumstances - mission, stakeholder expectations, dependencies, and legal, regulatory, and contractual requirements - surrounding the organization's cybersecurity risk management decisions are understood"/>
    <s v="GV.OC-04"/>
    <s v="Critical objectives, capabilities, and services that external stakeholders depend on or expect from the organization are understood and communicated"/>
    <s v="Ex1: Establish criteria for determining the criticality of capabilities and services as viewed by internal and external stakeholders"/>
    <s v="CP-02(08),PM-08,PM-11,PM-30(01),RA-09"/>
    <x v="1"/>
    <m/>
    <m/>
    <m/>
    <s v="CP-02(08),PM-08,PM-11,PM-30(01),RA-09"/>
    <m/>
    <n v="0"/>
    <n v="0"/>
    <m/>
    <m/>
    <s v="Not Started"/>
    <s v="No"/>
    <s v="No"/>
    <s v="No"/>
    <n v="0"/>
    <n v="0"/>
    <m/>
    <m/>
    <s v="Not Started"/>
    <s v="No"/>
    <s v="No"/>
    <s v="No"/>
    <n v="0"/>
    <n v="0"/>
    <m/>
    <m/>
    <s v="Not Started"/>
    <s v="No"/>
    <s v="No"/>
    <s v="No"/>
    <n v="0"/>
    <n v="0"/>
    <m/>
    <m/>
    <s v="Not Started"/>
    <s v="No"/>
    <s v="No"/>
    <s v="No"/>
    <m/>
    <m/>
    <n v="0"/>
    <m/>
    <m/>
  </r>
  <r>
    <s v="GV.OC-04 Ex2"/>
    <x v="0"/>
    <s v="The organization's cybersecurity risk management strategy, expectations, and policy are established, communicated, and monitored"/>
    <x v="1"/>
    <s v="Organizational Context (GV.OC)"/>
    <s v="The circumstances - mission, stakeholder expectations, dependencies, and legal, regulatory, and contractual requirements - surrounding the organization's cybersecurity risk management decisions are understood"/>
    <s v="GV.OC-04"/>
    <s v="Critical objectives, capabilities, and services that external stakeholders depend on or expect from the organization are understood and communicated"/>
    <s v="Ex2: Determine (e.g., from a business impact analysis) assets and business operations that are vital to achieving mission objectives and the potential impact of a loss (or partial loss) of such operations"/>
    <s v="CP-02(08),PM-08,PM-11,PM-30(01),RA-09"/>
    <x v="1"/>
    <m/>
    <m/>
    <m/>
    <s v="CP-02(08),PM-08,PM-11,PM-30(01),RA-09"/>
    <m/>
    <n v="0"/>
    <n v="0"/>
    <m/>
    <m/>
    <s v="Not Started"/>
    <s v="No"/>
    <s v="No"/>
    <s v="No"/>
    <n v="0"/>
    <n v="0"/>
    <m/>
    <m/>
    <s v="Not Started"/>
    <s v="No"/>
    <s v="No"/>
    <s v="No"/>
    <n v="0"/>
    <n v="0"/>
    <m/>
    <m/>
    <s v="Not Started"/>
    <s v="No"/>
    <s v="No"/>
    <s v="No"/>
    <n v="0"/>
    <n v="0"/>
    <m/>
    <m/>
    <s v="Not Started"/>
    <s v="No"/>
    <s v="No"/>
    <s v="No"/>
    <m/>
    <m/>
    <n v="0"/>
    <m/>
    <m/>
  </r>
  <r>
    <s v="GV.OC-04 Ex3"/>
    <x v="0"/>
    <s v="The organization's cybersecurity risk management strategy, expectations, and policy are established, communicated, and monitored"/>
    <x v="1"/>
    <s v="Organizational Context (GV.OC)"/>
    <s v="The circumstances - mission, stakeholder expectations, dependencies, and legal, regulatory, and contractual requirements - surrounding the organization's cybersecurity risk management decisions are understood"/>
    <s v="GV.OC-04"/>
    <s v="Critical objectives, capabilities, and services that external stakeholders depend on or expect from the organization are understood and communicated"/>
    <s v="Ex3: Establish and communicate resilience objectives (e.g., recovery time objectives) for delivering critical capabilities and services in various operating states (e.g., under attack, during recovery, normal operation)"/>
    <s v="CP-02(08),PM-08,PM-11,PM-30(01),RA-09"/>
    <x v="1"/>
    <m/>
    <m/>
    <m/>
    <s v="CP-02(08),PM-08,PM-11,PM-30(01),RA-09"/>
    <m/>
    <n v="0"/>
    <n v="0"/>
    <m/>
    <m/>
    <s v="Not Started"/>
    <s v="No"/>
    <s v="No"/>
    <s v="No"/>
    <n v="0"/>
    <n v="0"/>
    <m/>
    <m/>
    <s v="Not Started"/>
    <s v="No"/>
    <s v="No"/>
    <s v="No"/>
    <n v="0"/>
    <n v="0"/>
    <m/>
    <m/>
    <s v="Not Started"/>
    <s v="No"/>
    <s v="No"/>
    <s v="No"/>
    <n v="0"/>
    <n v="0"/>
    <m/>
    <m/>
    <s v="Not Started"/>
    <s v="No"/>
    <s v="No"/>
    <s v="No"/>
    <m/>
    <m/>
    <n v="0"/>
    <m/>
    <m/>
  </r>
  <r>
    <s v="GV.OC-05 Ex1"/>
    <x v="0"/>
    <s v="The organization's cybersecurity risk management strategy, expectations, and policy are established, communicated, and monitored"/>
    <x v="1"/>
    <s v="Organizational Context (GV.OC)"/>
    <s v="The circumstances - mission, stakeholder expectations, dependencies, and legal, regulatory, and contractual requirements - surrounding the organization's cybersecurity risk management decisions are understood"/>
    <s v="GV.OC-05"/>
    <s v="Outcomes, capabilities, and services that the organization depends on are understood and communicated"/>
    <s v="Ex1: Create an inventory of the organization's dependencies on external resources (e.g., facilities, cloud-based hosting providers) and their relationships to organizational assets and business functions"/>
    <s v="PM-11,PM-30,RA-07,SA-09,SR-05"/>
    <x v="1"/>
    <m/>
    <m/>
    <m/>
    <s v="PM-11,PM-30,RA-07,SA-09,SR-05"/>
    <m/>
    <n v="0"/>
    <n v="0"/>
    <m/>
    <m/>
    <s v="Not Started"/>
    <s v="No"/>
    <s v="No"/>
    <s v="No"/>
    <n v="0"/>
    <n v="0"/>
    <m/>
    <m/>
    <s v="Not Started"/>
    <s v="No"/>
    <s v="No"/>
    <s v="No"/>
    <n v="0"/>
    <n v="0"/>
    <m/>
    <m/>
    <s v="Not Started"/>
    <s v="No"/>
    <s v="No"/>
    <s v="No"/>
    <n v="0"/>
    <n v="0"/>
    <m/>
    <m/>
    <s v="Not Started"/>
    <s v="No"/>
    <s v="No"/>
    <s v="No"/>
    <m/>
    <m/>
    <n v="0"/>
    <m/>
    <m/>
  </r>
  <r>
    <s v="GV.OC-05 Ex2"/>
    <x v="0"/>
    <s v="The organization's cybersecurity risk management strategy, expectations, and policy are established, communicated, and monitored"/>
    <x v="1"/>
    <s v="Organizational Context (GV.OC)"/>
    <s v="The circumstances - mission, stakeholder expectations, dependencies, and legal, regulatory, and contractual requirements - surrounding the organization's cybersecurity risk management decisions are understood"/>
    <s v="GV.OC-05"/>
    <s v="Outcomes, capabilities, and services that the organization depends on are understood and communicated"/>
    <s v="Ex2: Identify and document external dependencies that are potential points of failure for the organization's critical capabilities and services, and share that information with appropriate personnel"/>
    <s v="PM-11,PM-30,RA-07,SA-09,SR-05"/>
    <x v="1"/>
    <m/>
    <m/>
    <m/>
    <s v="PM-11,PM-30,RA-07,SA-09,SR-05"/>
    <m/>
    <n v="0"/>
    <n v="0"/>
    <m/>
    <m/>
    <s v="Not Started"/>
    <s v="No"/>
    <s v="No"/>
    <s v="No"/>
    <n v="0"/>
    <n v="0"/>
    <m/>
    <m/>
    <s v="Not Started"/>
    <s v="No"/>
    <s v="No"/>
    <s v="No"/>
    <n v="0"/>
    <n v="0"/>
    <m/>
    <m/>
    <s v="Not Started"/>
    <s v="No"/>
    <s v="No"/>
    <s v="No"/>
    <n v="0"/>
    <n v="0"/>
    <m/>
    <m/>
    <s v="Not Started"/>
    <s v="No"/>
    <s v="No"/>
    <s v="No"/>
    <m/>
    <m/>
    <n v="0"/>
    <m/>
    <m/>
  </r>
  <r>
    <s v="GV.OV-01 Ex1"/>
    <x v="0"/>
    <s v="The organization's cybersecurity risk management strategy, expectations, and policy are established, communicated, and monitored"/>
    <x v="3"/>
    <s v="Oversight (GV.OV)"/>
    <s v="Results of organization-wide cybersecurity risk management activities and performance are used to inform, improve, and adjust the risk management strategy"/>
    <s v="GV.OV-01"/>
    <s v="Cybersecurity risk management strategy outcomes are reviewed to inform and adjust strategy and direction"/>
    <s v="Ex1: Measure how well the risk management strategy and risk results have helped leaders make decisions and achieve organizational objectives"/>
    <s v="AC-01,AT-01,AU-01,CA-01,CM-01,CP-01,IA-01,IR-01,MA-01,MP-01,PE-01,PL-01,PM-01,PM-09,PM-18,PM-30,PM-31,PS-01,PT-01,RA-01,RA-07,SA-01,SC-01,SI-01,SR-01,SR-06"/>
    <x v="1"/>
    <m/>
    <m/>
    <m/>
    <s v="AC-01,AT-01,AU-01,CA-01,CM-01,CP-01,IA-01,IR-01,MA-01,MP-01,PE-01,PL-01,PM-01,PM-09,PM-18,PM-30,PM-31,PS-01,PT-01,RA-01,RA-07,SA-01,SC-01,SI-01,SR-01,SR-06"/>
    <m/>
    <n v="0"/>
    <n v="0"/>
    <m/>
    <m/>
    <s v="Not Started"/>
    <s v="No"/>
    <s v="No"/>
    <s v="No"/>
    <n v="0"/>
    <n v="0"/>
    <m/>
    <m/>
    <s v="Not Started"/>
    <s v="No"/>
    <s v="No"/>
    <s v="No"/>
    <n v="0"/>
    <n v="0"/>
    <m/>
    <m/>
    <s v="Not Started"/>
    <s v="No"/>
    <s v="No"/>
    <s v="No"/>
    <n v="0"/>
    <n v="0"/>
    <m/>
    <m/>
    <s v="Not Started"/>
    <s v="No"/>
    <s v="No"/>
    <s v="No"/>
    <m/>
    <m/>
    <n v="0"/>
    <m/>
    <m/>
  </r>
  <r>
    <s v="GV.OV-02 Ex1"/>
    <x v="0"/>
    <s v="The organization's cybersecurity risk management strategy, expectations, and policy are established, communicated, and monitored"/>
    <x v="3"/>
    <s v="Oversight (GV.OV)"/>
    <s v="Results of organization-wide cybersecurity risk management activities and performance are used to inform, improve, and adjust the risk management strategy"/>
    <s v="GV.OV-02"/>
    <s v="The cybersecurity risk management strategy is reviewed and adjusted to ensure coverage of organizational requirements and risks"/>
    <s v="Ex1: Review audit findings to confirm whether the existing cybersecurity strategy has ensured compliance with internal and external requirements"/>
    <s v="PM-09,PM-19,PM-30,PM-31,RA-07,SR-06"/>
    <x v="1"/>
    <m/>
    <m/>
    <m/>
    <s v="PM-09,PM-19,PM-30,PM-31,RA-07,SR-06"/>
    <m/>
    <n v="0"/>
    <n v="0"/>
    <m/>
    <m/>
    <s v="Not Started"/>
    <s v="No"/>
    <s v="No"/>
    <s v="No"/>
    <n v="0"/>
    <n v="0"/>
    <m/>
    <m/>
    <s v="Not Started"/>
    <s v="No"/>
    <s v="No"/>
    <s v="No"/>
    <n v="0"/>
    <n v="0"/>
    <m/>
    <m/>
    <s v="Not Started"/>
    <s v="No"/>
    <s v="No"/>
    <s v="No"/>
    <n v="0"/>
    <n v="0"/>
    <m/>
    <m/>
    <s v="Not Started"/>
    <s v="No"/>
    <s v="No"/>
    <s v="No"/>
    <m/>
    <m/>
    <n v="0"/>
    <m/>
    <m/>
  </r>
  <r>
    <s v="GV.OV-02 Ex2"/>
    <x v="0"/>
    <s v="The organization's cybersecurity risk management strategy, expectations, and policy are established, communicated, and monitored"/>
    <x v="3"/>
    <s v="Oversight (GV.OV)"/>
    <s v="Results of organization-wide cybersecurity risk management activities and performance are used to inform, improve, and adjust the risk management strategy"/>
    <s v="GV.OV-02"/>
    <s v="The cybersecurity risk management strategy is reviewed and adjusted to ensure coverage of organizational requirements and risks"/>
    <s v="Ex2: Review the performance oversight of those in cybersecurity-related roles to determine whether policy changes are necessary"/>
    <s v="PM-09,PM-19,PM-30,PM-31,RA-07,SR-06"/>
    <x v="1"/>
    <m/>
    <m/>
    <m/>
    <s v="PM-09,PM-19,PM-30,PM-31,RA-07,SR-06"/>
    <m/>
    <n v="0"/>
    <n v="0"/>
    <m/>
    <m/>
    <s v="Not Started"/>
    <s v="No"/>
    <s v="No"/>
    <s v="No"/>
    <n v="0"/>
    <n v="0"/>
    <m/>
    <m/>
    <s v="Not Started"/>
    <s v="No"/>
    <s v="No"/>
    <s v="No"/>
    <n v="0"/>
    <n v="0"/>
    <m/>
    <m/>
    <s v="Not Started"/>
    <s v="No"/>
    <s v="No"/>
    <s v="No"/>
    <n v="0"/>
    <n v="0"/>
    <m/>
    <m/>
    <s v="Not Started"/>
    <s v="No"/>
    <s v="No"/>
    <s v="No"/>
    <m/>
    <m/>
    <n v="0"/>
    <m/>
    <m/>
  </r>
  <r>
    <s v="GV.OV-02 Ex3"/>
    <x v="0"/>
    <s v="The organization's cybersecurity risk management strategy, expectations, and policy are established, communicated, and monitored"/>
    <x v="3"/>
    <s v="Oversight (GV.OV)"/>
    <s v="Results of organization-wide cybersecurity risk management activities and performance are used to inform, improve, and adjust the risk management strategy"/>
    <s v="GV.OV-02"/>
    <s v="The cybersecurity risk management strategy is reviewed and adjusted to ensure coverage of organizational requirements and risks"/>
    <s v="Ex3: Review strategy in light of cybersecurity incidents"/>
    <s v="PM-09,PM-19,PM-30,PM-31,RA-07,SR-06"/>
    <x v="1"/>
    <m/>
    <m/>
    <m/>
    <s v="PM-09,PM-19,PM-30,PM-31,RA-07,SR-06"/>
    <m/>
    <n v="0"/>
    <n v="0"/>
    <m/>
    <m/>
    <s v="Not Started"/>
    <s v="No"/>
    <s v="No"/>
    <s v="No"/>
    <n v="0"/>
    <n v="0"/>
    <m/>
    <m/>
    <s v="Not Started"/>
    <s v="No"/>
    <s v="No"/>
    <s v="No"/>
    <n v="0"/>
    <n v="0"/>
    <m/>
    <m/>
    <s v="Not Started"/>
    <s v="No"/>
    <s v="No"/>
    <s v="No"/>
    <n v="0"/>
    <n v="0"/>
    <m/>
    <m/>
    <s v="Not Started"/>
    <s v="No"/>
    <s v="No"/>
    <s v="No"/>
    <m/>
    <m/>
    <n v="0"/>
    <m/>
    <m/>
  </r>
  <r>
    <s v="GV.OV-03 Ex1"/>
    <x v="0"/>
    <s v="The organization's cybersecurity risk management strategy, expectations, and policy are established, communicated, and monitored"/>
    <x v="3"/>
    <s v="Oversight (GV.OV)"/>
    <s v="Results of organization-wide cybersecurity risk management activities and performance are used to inform, improve, and adjust the risk management strategy"/>
    <s v="GV.OV-03"/>
    <s v="Organizational cybersecurity risk management performance is evaluated and reviewed for adjustments needed"/>
    <s v="Ex1: Review key performance indicators (KPIs) to ensure that organization-wide policies and procedures achieve objectives"/>
    <s v="PM-04,PM-06,RA-07,SR-06"/>
    <x v="1"/>
    <m/>
    <m/>
    <m/>
    <s v="PM-04,PM-06,RA-07,SR-06"/>
    <m/>
    <n v="0"/>
    <n v="0"/>
    <m/>
    <m/>
    <s v="Not Started"/>
    <s v="No"/>
    <s v="No"/>
    <s v="No"/>
    <n v="0"/>
    <n v="0"/>
    <m/>
    <m/>
    <s v="Not Started"/>
    <s v="No"/>
    <s v="No"/>
    <s v="No"/>
    <n v="0"/>
    <n v="0"/>
    <m/>
    <m/>
    <s v="Not Started"/>
    <s v="No"/>
    <s v="No"/>
    <s v="No"/>
    <n v="0"/>
    <n v="0"/>
    <m/>
    <m/>
    <s v="Not Started"/>
    <s v="No"/>
    <s v="No"/>
    <s v="No"/>
    <m/>
    <m/>
    <n v="0"/>
    <m/>
    <m/>
  </r>
  <r>
    <s v="GV.OV-03 Ex2"/>
    <x v="0"/>
    <s v="The organization's cybersecurity risk management strategy, expectations, and policy are established, communicated, and monitored"/>
    <x v="3"/>
    <s v="Oversight (GV.OV)"/>
    <s v="Results of organization-wide cybersecurity risk management activities and performance are used to inform, improve, and adjust the risk management strategy"/>
    <s v="GV.OV-03"/>
    <s v="Organizational cybersecurity risk management performance is evaluated and reviewed for adjustments needed"/>
    <s v="Ex2: Review key risk indicators (KRIs) to identify risks the organization faces, including likelihood and potential impact"/>
    <s v="PM-04,PM-06,RA-07,SR-06"/>
    <x v="1"/>
    <m/>
    <m/>
    <m/>
    <s v="PM-04,PM-06,RA-07,SR-06"/>
    <m/>
    <n v="0"/>
    <n v="0"/>
    <m/>
    <m/>
    <s v="Not Started"/>
    <s v="No"/>
    <s v="No"/>
    <s v="No"/>
    <n v="0"/>
    <n v="0"/>
    <m/>
    <m/>
    <s v="Not Started"/>
    <s v="No"/>
    <s v="No"/>
    <s v="No"/>
    <n v="0"/>
    <n v="0"/>
    <m/>
    <m/>
    <s v="Not Started"/>
    <s v="No"/>
    <s v="No"/>
    <s v="No"/>
    <n v="0"/>
    <n v="0"/>
    <m/>
    <m/>
    <s v="Not Started"/>
    <s v="No"/>
    <s v="No"/>
    <s v="No"/>
    <m/>
    <m/>
    <n v="0"/>
    <m/>
    <m/>
  </r>
  <r>
    <s v="GV.OV-03 Ex3"/>
    <x v="0"/>
    <s v="The organization's cybersecurity risk management strategy, expectations, and policy are established, communicated, and monitored"/>
    <x v="3"/>
    <s v="Oversight (GV.OV)"/>
    <s v="Results of organization-wide cybersecurity risk management activities and performance are used to inform, improve, and adjust the risk management strategy"/>
    <s v="GV.OV-03"/>
    <s v="Organizational cybersecurity risk management performance is evaluated and reviewed for adjustments needed"/>
    <s v="Ex3: Collect and communicate metrics on cybersecurity risk management with senior leadership"/>
    <s v="PM-04,PM-06,RA-07,SR-06"/>
    <x v="1"/>
    <m/>
    <m/>
    <m/>
    <s v="PM-04,PM-06,RA-07,SR-06"/>
    <m/>
    <n v="0"/>
    <n v="0"/>
    <m/>
    <m/>
    <s v="Not Started"/>
    <s v="No"/>
    <s v="No"/>
    <s v="No"/>
    <n v="0"/>
    <n v="0"/>
    <m/>
    <m/>
    <s v="Not Started"/>
    <s v="No"/>
    <s v="No"/>
    <s v="No"/>
    <n v="0"/>
    <n v="0"/>
    <m/>
    <m/>
    <s v="Not Started"/>
    <s v="No"/>
    <s v="No"/>
    <s v="No"/>
    <n v="0"/>
    <n v="0"/>
    <m/>
    <m/>
    <s v="Not Started"/>
    <s v="No"/>
    <s v="No"/>
    <s v="No"/>
    <m/>
    <m/>
    <n v="0"/>
    <m/>
    <m/>
  </r>
  <r>
    <s v="GV.PO-01 Ex1"/>
    <x v="0"/>
    <s v="The organization's cybersecurity risk management strategy, expectations, and policy are established, communicated, and monitored"/>
    <x v="18"/>
    <s v="Policy (GV.PO)"/>
    <s v="Organizational cybersecurity policy is established, communicated, and enforced"/>
    <s v="GV.PO-01"/>
    <s v="Policy for managing cybersecurity risks is established based on organizational context, cybersecurity strategy, and priorities and is communicated and enforced"/>
    <s v="Ex1: Create, disseminate, and maintain an understandable, usable risk management policy with statements of management intent, expectations, and direction"/>
    <s v="AC-01,AT-01,AU-01,CA-01,CM-01,CP-01,IA-01,IR-01,MA-01,MP-01,PE-01,PL-01,PM-01,PS-01,PT-01,RA-01,SA-01,SC-01,SI-01,SR-01"/>
    <x v="1"/>
    <m/>
    <m/>
    <m/>
    <s v="AC-01,AT-01,AU-01,CA-01,CM-01,CP-01,IA-01,IR-01,MA-01,MP-01,PE-01,PL-01,PM-01,PS-01,PT-01,RA-01,SA-01,SC-01,SI-01,SR-01"/>
    <m/>
    <n v="0"/>
    <n v="0"/>
    <m/>
    <m/>
    <s v="Not Started"/>
    <s v="No"/>
    <s v="No"/>
    <s v="No"/>
    <n v="0"/>
    <n v="0"/>
    <m/>
    <m/>
    <s v="Not Started"/>
    <s v="No"/>
    <s v="No"/>
    <s v="No"/>
    <n v="0"/>
    <n v="0"/>
    <m/>
    <m/>
    <s v="Not Started"/>
    <s v="No"/>
    <s v="No"/>
    <s v="No"/>
    <n v="0"/>
    <n v="0"/>
    <m/>
    <m/>
    <s v="Not Started"/>
    <s v="No"/>
    <s v="No"/>
    <s v="No"/>
    <m/>
    <m/>
    <n v="0"/>
    <m/>
    <m/>
  </r>
  <r>
    <s v="GV.PO-01 Ex2"/>
    <x v="0"/>
    <s v="The organization's cybersecurity risk management strategy, expectations, and policy are established, communicated, and monitored"/>
    <x v="18"/>
    <s v="Policy (GV.PO)"/>
    <s v="Organizational cybersecurity policy is established, communicated, and enforced"/>
    <s v="GV.PO-01"/>
    <s v="Policy for managing cybersecurity risks is established based on organizational context, cybersecurity strategy, and priorities and is communicated and enforced"/>
    <s v="Ex2: Periodically review policy and supporting processes and procedures to ensure that they align with risk management strategy objectives and priorities, as well as the high-level direction of the cybersecurity policy"/>
    <s v="AC-01,AT-01,AU-01,CA-01,CM-01,CP-01,IA-01,IR-01,MA-01,MP-01,PE-01,PL-01,PM-01,PS-01,PT-01,RA-01,SA-01,SC-01,SI-01,SR-01"/>
    <x v="1"/>
    <m/>
    <m/>
    <m/>
    <s v="AC-01,AT-01,AU-01,CA-01,CM-01,CP-01,IA-01,IR-01,MA-01,MP-01,PE-01,PL-01,PM-01,PS-01,PT-01,RA-01,SA-01,SC-01,SI-01,SR-01"/>
    <m/>
    <n v="0"/>
    <n v="0"/>
    <m/>
    <m/>
    <s v="Not Started"/>
    <s v="No"/>
    <s v="No"/>
    <s v="No"/>
    <n v="0"/>
    <n v="0"/>
    <m/>
    <m/>
    <s v="Not Started"/>
    <s v="No"/>
    <s v="No"/>
    <s v="No"/>
    <n v="0"/>
    <n v="0"/>
    <m/>
    <m/>
    <s v="Not Started"/>
    <s v="No"/>
    <s v="No"/>
    <s v="No"/>
    <n v="0"/>
    <n v="0"/>
    <m/>
    <m/>
    <s v="Not Started"/>
    <s v="No"/>
    <s v="No"/>
    <s v="No"/>
    <m/>
    <m/>
    <n v="0"/>
    <m/>
    <m/>
  </r>
  <r>
    <s v="GV.PO-01 Ex3"/>
    <x v="0"/>
    <s v="The organization's cybersecurity risk management strategy, expectations, and policy are established, communicated, and monitored"/>
    <x v="18"/>
    <s v="Policy (GV.PO)"/>
    <s v="Organizational cybersecurity policy is established, communicated, and enforced"/>
    <s v="GV.PO-01"/>
    <s v="Policy for managing cybersecurity risks is established based on organizational context, cybersecurity strategy, and priorities and is communicated and enforced"/>
    <s v="Ex3: Require approval from senior management on policy"/>
    <s v="AC-01,AT-01,AU-01,CA-01,CM-01,CP-01,IA-01,IR-01,MA-01,MP-01,PE-01,PL-01,PM-01,PS-01,PT-01,RA-01,SA-01,SC-01,SI-01,SR-01"/>
    <x v="1"/>
    <m/>
    <m/>
    <m/>
    <s v="AC-01,AT-01,AU-01,CA-01,CM-01,CP-01,IA-01,IR-01,MA-01,MP-01,PE-01,PL-01,PM-01,PS-01,PT-01,RA-01,SA-01,SC-01,SI-01,SR-01"/>
    <m/>
    <n v="0"/>
    <n v="0"/>
    <m/>
    <m/>
    <s v="Not Started"/>
    <s v="No"/>
    <s v="No"/>
    <s v="No"/>
    <n v="0"/>
    <n v="0"/>
    <m/>
    <m/>
    <s v="Not Started"/>
    <s v="No"/>
    <s v="No"/>
    <s v="No"/>
    <n v="0"/>
    <n v="0"/>
    <m/>
    <m/>
    <s v="Not Started"/>
    <s v="No"/>
    <s v="No"/>
    <s v="No"/>
    <n v="0"/>
    <n v="0"/>
    <m/>
    <m/>
    <s v="Not Started"/>
    <s v="No"/>
    <s v="No"/>
    <s v="No"/>
    <m/>
    <m/>
    <n v="0"/>
    <m/>
    <m/>
  </r>
  <r>
    <s v="GV.PO-01 Ex4"/>
    <x v="0"/>
    <s v="The organization's cybersecurity risk management strategy, expectations, and policy are established, communicated, and monitored"/>
    <x v="18"/>
    <s v="Policy (GV.PO)"/>
    <s v="Organizational cybersecurity policy is established, communicated, and enforced"/>
    <s v="GV.PO-01"/>
    <s v="Policy for managing cybersecurity risks is established based on organizational context, cybersecurity strategy, and priorities and is communicated and enforced"/>
    <s v="Ex4: Communicate cybersecurity risk management policy and supporting processes and procedures across the organization"/>
    <s v="AC-01,AT-01,AU-01,CA-01,CM-01,CP-01,IA-01,IR-01,MA-01,MP-01,PE-01,PL-01,PM-01,PS-01,PT-01,RA-01,SA-01,SC-01,SI-01,SR-01"/>
    <x v="1"/>
    <m/>
    <m/>
    <m/>
    <s v="AC-01,AT-01,AU-01,CA-01,CM-01,CP-01,IA-01,IR-01,MA-01,MP-01,PE-01,PL-01,PM-01,PS-01,PT-01,RA-01,SA-01,SC-01,SI-01,SR-01"/>
    <m/>
    <n v="0"/>
    <n v="0"/>
    <m/>
    <m/>
    <s v="Not Started"/>
    <s v="No"/>
    <s v="No"/>
    <s v="No"/>
    <n v="0"/>
    <n v="0"/>
    <m/>
    <m/>
    <s v="Not Started"/>
    <s v="No"/>
    <s v="No"/>
    <s v="No"/>
    <n v="0"/>
    <n v="0"/>
    <m/>
    <m/>
    <s v="Not Started"/>
    <s v="No"/>
    <s v="No"/>
    <s v="No"/>
    <n v="0"/>
    <n v="0"/>
    <m/>
    <m/>
    <s v="Not Started"/>
    <s v="No"/>
    <s v="No"/>
    <s v="No"/>
    <m/>
    <m/>
    <n v="0"/>
    <m/>
    <m/>
  </r>
  <r>
    <s v="GV.PO-01 Ex5"/>
    <x v="0"/>
    <s v="The organization's cybersecurity risk management strategy, expectations, and policy are established, communicated, and monitored"/>
    <x v="18"/>
    <s v="Policy (GV.PO)"/>
    <s v="Organizational cybersecurity policy is established, communicated, and enforced"/>
    <s v="GV.PO-01"/>
    <s v="Policy for managing cybersecurity risks is established based on organizational context, cybersecurity strategy, and priorities and is communicated and enforced"/>
    <s v="Ex5: Require personnel to acknowledge receipt of policy when first hired, annually, and whenever policy is updated"/>
    <s v="AC-01,AT-01,AU-01,CA-01,CM-01,CP-01,IA-01,IR-01,MA-01,MP-01,PE-01,PL-01,PM-01,PS-01,PT-01,RA-01,SA-01,SC-01,SI-01,SR-01"/>
    <x v="1"/>
    <m/>
    <m/>
    <m/>
    <s v="AC-01,AT-01,AU-01,CA-01,CM-01,CP-01,IA-01,IR-01,MA-01,MP-01,PE-01,PL-01,PM-01,PS-01,PT-01,RA-01,SA-01,SC-01,SI-01,SR-01"/>
    <m/>
    <n v="0"/>
    <n v="0"/>
    <m/>
    <m/>
    <s v="Not Started"/>
    <s v="No"/>
    <s v="No"/>
    <s v="No"/>
    <n v="0"/>
    <n v="0"/>
    <m/>
    <m/>
    <s v="Not Started"/>
    <s v="No"/>
    <s v="No"/>
    <s v="No"/>
    <n v="0"/>
    <n v="0"/>
    <m/>
    <m/>
    <s v="Not Started"/>
    <s v="No"/>
    <s v="No"/>
    <s v="No"/>
    <n v="0"/>
    <n v="0"/>
    <m/>
    <m/>
    <s v="Not Started"/>
    <s v="No"/>
    <s v="No"/>
    <s v="No"/>
    <m/>
    <m/>
    <n v="0"/>
    <m/>
    <m/>
  </r>
  <r>
    <s v="GV.PO-02 Ex1"/>
    <x v="0"/>
    <s v="The organization's cybersecurity risk management strategy, expectations, and policy are established, communicated, and monitored"/>
    <x v="18"/>
    <s v="Policy (GV.PO)"/>
    <s v="Organizational cybersecurity policy is established, communicated, and enforced"/>
    <s v="GV.PO-02"/>
    <s v="Policy for managing cybersecurity risks is reviewed, updated, communicated, and enforced to reflect changes in requirements, threats, technology, and organizational mission"/>
    <s v="Ex1: Update policy based on periodic reviews of cybersecurity risk management results to ensure that policy and supporting processes and procedures adequately maintain risk at an acceptable level"/>
    <s v="AC-01,AT-01,AU-01,CA-01,CM-01,CP-01,IA-01,IR-01,MA-01,MP-01,PE-01,PL-01,PM-01,PS-01,PT-01,RA-01,SA-01,SC-01,SI-01,SR-01"/>
    <x v="1"/>
    <m/>
    <m/>
    <m/>
    <s v="AC-01,AT-01,AU-01,CA-01,CM-01,CP-01,IA-01,IR-01,MA-01,MP-01,PE-01,PL-01,PM-01,PS-01,PT-01,RA-01,SA-01,SC-01,SI-01,SR-01"/>
    <m/>
    <n v="0"/>
    <n v="0"/>
    <m/>
    <m/>
    <s v="Not Started"/>
    <s v="No"/>
    <s v="No"/>
    <s v="No"/>
    <n v="0"/>
    <n v="0"/>
    <m/>
    <m/>
    <s v="Not Started"/>
    <s v="No"/>
    <s v="No"/>
    <s v="No"/>
    <n v="0"/>
    <n v="0"/>
    <m/>
    <m/>
    <s v="Not Started"/>
    <s v="No"/>
    <s v="No"/>
    <s v="No"/>
    <n v="0"/>
    <n v="0"/>
    <m/>
    <m/>
    <s v="Not Started"/>
    <s v="No"/>
    <s v="No"/>
    <s v="No"/>
    <m/>
    <m/>
    <n v="0"/>
    <m/>
    <m/>
  </r>
  <r>
    <s v="GV.PO-02 Ex2"/>
    <x v="0"/>
    <s v="The organization's cybersecurity risk management strategy, expectations, and policy are established, communicated, and monitored"/>
    <x v="18"/>
    <s v="Policy (GV.PO)"/>
    <s v="Organizational cybersecurity policy is established, communicated, and enforced"/>
    <s v="GV.PO-02"/>
    <s v="Policy for managing cybersecurity risks is reviewed, updated, communicated, and enforced to reflect changes in requirements, threats, technology, and organizational mission"/>
    <s v="Ex2: Provide a timeline for reviewing changes to the organization's risk environment (e.g., changes in risk or in the organization's mission objectives), and communicate recommended policy updates"/>
    <s v="AC-01,AT-01,AU-01,CA-01,CM-01,CP-01,IA-01,IR-01,MA-01,MP-01,PE-01,PL-01,PM-01,PS-01,PT-01,RA-01,SA-01,SC-01,SI-01,SR-01"/>
    <x v="1"/>
    <m/>
    <m/>
    <m/>
    <s v="AC-01,AT-01,AU-01,CA-01,CM-01,CP-01,IA-01,IR-01,MA-01,MP-01,PE-01,PL-01,PM-01,PS-01,PT-01,RA-01,SA-01,SC-01,SI-01,SR-01"/>
    <m/>
    <n v="0"/>
    <n v="0"/>
    <m/>
    <m/>
    <s v="Not Started"/>
    <s v="No"/>
    <s v="No"/>
    <s v="No"/>
    <n v="0"/>
    <n v="0"/>
    <m/>
    <m/>
    <s v="Not Started"/>
    <s v="No"/>
    <s v="No"/>
    <s v="No"/>
    <n v="0"/>
    <n v="0"/>
    <m/>
    <m/>
    <s v="Not Started"/>
    <s v="No"/>
    <s v="No"/>
    <s v="No"/>
    <n v="0"/>
    <n v="0"/>
    <m/>
    <m/>
    <s v="Not Started"/>
    <s v="No"/>
    <s v="No"/>
    <s v="No"/>
    <m/>
    <m/>
    <n v="0"/>
    <m/>
    <m/>
  </r>
  <r>
    <s v="GV.PO-02 Ex3"/>
    <x v="0"/>
    <s v="The organization's cybersecurity risk management strategy, expectations, and policy are established, communicated, and monitored"/>
    <x v="18"/>
    <s v="Policy (GV.PO)"/>
    <s v="Organizational cybersecurity policy is established, communicated, and enforced"/>
    <s v="GV.PO-02"/>
    <s v="Policy for managing cybersecurity risks is reviewed, updated, communicated, and enforced to reflect changes in requirements, threats, technology, and organizational mission"/>
    <s v="Ex3: Update policy to reflect changes in legal and regulatory requirements"/>
    <s v="AC-01,AT-01,AU-01,CA-01,CM-01,CP-01,IA-01,IR-01,MA-01,MP-01,PE-01,PL-01,PM-01,PS-01,PT-01,RA-01,SA-01,SC-01,SI-01,SR-01"/>
    <x v="1"/>
    <m/>
    <m/>
    <m/>
    <s v="AC-01,AT-01,AU-01,CA-01,CM-01,CP-01,IA-01,IR-01,MA-01,MP-01,PE-01,PL-01,PM-01,PS-01,PT-01,RA-01,SA-01,SC-01,SI-01,SR-01"/>
    <m/>
    <n v="0"/>
    <n v="0"/>
    <m/>
    <m/>
    <s v="Not Started"/>
    <s v="No"/>
    <s v="No"/>
    <s v="No"/>
    <n v="0"/>
    <n v="0"/>
    <m/>
    <m/>
    <s v="Not Started"/>
    <s v="No"/>
    <s v="No"/>
    <s v="No"/>
    <n v="0"/>
    <n v="0"/>
    <m/>
    <m/>
    <s v="Not Started"/>
    <s v="No"/>
    <s v="No"/>
    <s v="No"/>
    <n v="0"/>
    <n v="0"/>
    <m/>
    <m/>
    <s v="Not Started"/>
    <s v="No"/>
    <s v="No"/>
    <s v="No"/>
    <m/>
    <m/>
    <n v="0"/>
    <m/>
    <m/>
  </r>
  <r>
    <s v="GV.PO-02 Ex4"/>
    <x v="0"/>
    <s v="The organization's cybersecurity risk management strategy, expectations, and policy are established, communicated, and monitored"/>
    <x v="18"/>
    <s v="Policy (GV.PO)"/>
    <s v="Organizational cybersecurity policy is established, communicated, and enforced"/>
    <s v="GV.PO-02"/>
    <s v="Policy for managing cybersecurity risks is reviewed, updated, communicated, and enforced to reflect changes in requirements, threats, technology, and organizational mission"/>
    <s v="Ex4: Update policy to reflect changes in technology (e.g., adoption of artificial intelligence) and changes to the business (e.g., acquisition of a new business, new contract requirements)"/>
    <s v="AC-01,AT-01,AU-01,CA-01,CM-01,CP-01,IA-01,IR-01,MA-01,MP-01,PE-01,PL-01,PM-01,PS-01,PT-01,RA-01,SA-01,SC-01,SI-01,SR-01"/>
    <x v="1"/>
    <m/>
    <m/>
    <m/>
    <s v="AC-01,AT-01,AU-01,CA-01,CM-01,CP-01,IA-01,IR-01,MA-01,MP-01,PE-01,PL-01,PM-01,PS-01,PT-01,RA-01,SA-01,SC-01,SI-01,SR-01"/>
    <m/>
    <n v="0"/>
    <n v="0"/>
    <m/>
    <m/>
    <s v="Not Started"/>
    <s v="No"/>
    <s v="No"/>
    <s v="No"/>
    <n v="0"/>
    <n v="0"/>
    <m/>
    <m/>
    <s v="Not Started"/>
    <s v="No"/>
    <s v="No"/>
    <s v="No"/>
    <n v="0"/>
    <n v="0"/>
    <m/>
    <m/>
    <s v="Not Started"/>
    <s v="No"/>
    <s v="No"/>
    <s v="No"/>
    <n v="0"/>
    <n v="0"/>
    <m/>
    <m/>
    <s v="Not Started"/>
    <s v="No"/>
    <s v="No"/>
    <s v="No"/>
    <m/>
    <m/>
    <n v="0"/>
    <m/>
    <m/>
  </r>
  <r>
    <s v="GV.RM-01 Ex1"/>
    <x v="0"/>
    <s v="The organization's cybersecurity risk management strategy, expectations, and policy are established, communicated, and monitored"/>
    <x v="4"/>
    <s v="Risk Management Strategy (GV.RM)"/>
    <s v="The organization's priorities, constraints, risk tolerance and appetite statements, and assumptions are established, communicated, and used to support operational risk decisions"/>
    <s v="GV.RM-01"/>
    <s v="Risk management objectives are established and agreed to by organizational stakeholders"/>
    <s v="Ex1: Update near-term and long-term cybersecurity risk management objectives as part of annual strategic planning and when major changes occur"/>
    <s v="PM-09,RA-07,SR-02"/>
    <x v="1"/>
    <m/>
    <m/>
    <m/>
    <s v="PM-09,RA-07,SR-02"/>
    <m/>
    <n v="0"/>
    <n v="0"/>
    <m/>
    <m/>
    <s v="Not Started"/>
    <s v="No"/>
    <s v="No"/>
    <s v="No"/>
    <n v="0"/>
    <n v="0"/>
    <m/>
    <m/>
    <s v="Not Started"/>
    <s v="No"/>
    <s v="No"/>
    <s v="No"/>
    <n v="0"/>
    <n v="0"/>
    <m/>
    <m/>
    <s v="Not Started"/>
    <s v="No"/>
    <s v="No"/>
    <s v="No"/>
    <n v="0"/>
    <n v="0"/>
    <m/>
    <m/>
    <s v="Not Started"/>
    <s v="No"/>
    <s v="No"/>
    <s v="No"/>
    <m/>
    <m/>
    <n v="0"/>
    <m/>
    <m/>
  </r>
  <r>
    <s v="GV.RM-01 Ex3"/>
    <x v="0"/>
    <s v="The organization's cybersecurity risk management strategy, expectations, and policy are established, communicated, and monitored"/>
    <x v="4"/>
    <s v="Risk Management Strategy (GV.RM)"/>
    <s v="The organization's priorities, constraints, risk tolerance and appetite statements, and assumptions are established, communicated, and used to support operational risk decisions"/>
    <s v="GV.RM-01"/>
    <s v="Risk management objectives are established and agreed to by organizational stakeholders"/>
    <s v="Ex3: Senior leaders agree about cybersecurity objectives and use them for measuring and managing risk and performance"/>
    <s v="PM-09,RA-07,SR-02"/>
    <x v="1"/>
    <m/>
    <m/>
    <m/>
    <s v="PM-09,RA-07,SR-02"/>
    <m/>
    <n v="0"/>
    <n v="0"/>
    <m/>
    <m/>
    <s v="Not Started"/>
    <s v="No"/>
    <s v="No"/>
    <s v="No"/>
    <n v="0"/>
    <n v="0"/>
    <m/>
    <m/>
    <s v="Not Started"/>
    <s v="No"/>
    <s v="No"/>
    <s v="No"/>
    <n v="0"/>
    <n v="0"/>
    <m/>
    <m/>
    <s v="Not Started"/>
    <s v="No"/>
    <s v="No"/>
    <s v="No"/>
    <n v="0"/>
    <n v="0"/>
    <m/>
    <m/>
    <s v="Not Started"/>
    <s v="No"/>
    <s v="No"/>
    <s v="No"/>
    <m/>
    <m/>
    <n v="0"/>
    <m/>
    <m/>
  </r>
  <r>
    <s v="GV.RM-02 Ex1"/>
    <x v="0"/>
    <s v="The organization's cybersecurity risk management strategy, expectations, and policy are established, communicated, and monitored"/>
    <x v="4"/>
    <s v="Risk Management Strategy (GV.RM)"/>
    <s v="The organization's priorities, constraints, risk tolerance and appetite statements, and assumptions are established, communicated, and used to support operational risk decisions"/>
    <s v="GV.RM-02"/>
    <s v="Risk appetite and risk tolerance statements are established, communicated, and maintained"/>
    <s v="Ex1: Determine and communicate risk appetite statements that convey expectations about the appropriate level of risk for the organization"/>
    <s v="PM-09"/>
    <x v="1"/>
    <m/>
    <m/>
    <m/>
    <s v="PM-09"/>
    <m/>
    <n v="0"/>
    <n v="0"/>
    <m/>
    <m/>
    <s v="Not Started"/>
    <s v="No"/>
    <s v="No"/>
    <s v="No"/>
    <n v="0"/>
    <n v="0"/>
    <m/>
    <m/>
    <s v="Not Started"/>
    <s v="No"/>
    <s v="No"/>
    <s v="No"/>
    <n v="0"/>
    <n v="0"/>
    <m/>
    <m/>
    <s v="Not Started"/>
    <s v="No"/>
    <s v="No"/>
    <s v="No"/>
    <n v="0"/>
    <n v="0"/>
    <m/>
    <m/>
    <s v="Not Started"/>
    <s v="No"/>
    <s v="No"/>
    <s v="No"/>
    <m/>
    <m/>
    <n v="0"/>
    <m/>
    <m/>
  </r>
  <r>
    <s v="GV.RM-02 Ex2"/>
    <x v="0"/>
    <s v="The organization's cybersecurity risk management strategy, expectations, and policy are established, communicated, and monitored"/>
    <x v="4"/>
    <s v="Risk Management Strategy (GV.RM)"/>
    <s v="The organization's priorities, constraints, risk tolerance and appetite statements, and assumptions are established, communicated, and used to support operational risk decisions"/>
    <s v="GV.RM-02"/>
    <s v="Risk appetite and risk tolerance statements are established, communicated, and maintained"/>
    <s v="Ex2: Translate risk appetite statements into specific, measurable, and broadly understandable risk tolerance statements"/>
    <s v="PM-09"/>
    <x v="1"/>
    <m/>
    <m/>
    <m/>
    <s v="PM-09"/>
    <m/>
    <n v="0"/>
    <n v="0"/>
    <m/>
    <m/>
    <s v="Not Started"/>
    <s v="No"/>
    <s v="No"/>
    <s v="No"/>
    <n v="0"/>
    <n v="0"/>
    <m/>
    <m/>
    <s v="Not Started"/>
    <s v="No"/>
    <s v="No"/>
    <s v="No"/>
    <n v="0"/>
    <n v="0"/>
    <m/>
    <m/>
    <s v="Not Started"/>
    <s v="No"/>
    <s v="No"/>
    <s v="No"/>
    <n v="0"/>
    <n v="0"/>
    <m/>
    <m/>
    <s v="Not Started"/>
    <s v="No"/>
    <s v="No"/>
    <s v="No"/>
    <m/>
    <m/>
    <n v="0"/>
    <m/>
    <m/>
  </r>
  <r>
    <s v="GV.RM-02 Ex3"/>
    <x v="0"/>
    <s v="The organization's cybersecurity risk management strategy, expectations, and policy are established, communicated, and monitored"/>
    <x v="4"/>
    <s v="Risk Management Strategy (GV.RM)"/>
    <s v="The organization's priorities, constraints, risk tolerance and appetite statements, and assumptions are established, communicated, and used to support operational risk decisions"/>
    <s v="GV.RM-02"/>
    <s v="Risk appetite and risk tolerance statements are established, communicated, and maintained"/>
    <s v="Ex3: Refine organizational objectives and risk appetite periodically based on known risk exposure and residual risk"/>
    <s v="PM-09"/>
    <x v="1"/>
    <m/>
    <m/>
    <m/>
    <s v="PM-09"/>
    <m/>
    <n v="0"/>
    <n v="0"/>
    <m/>
    <m/>
    <s v="Not Started"/>
    <s v="No"/>
    <s v="No"/>
    <s v="No"/>
    <n v="0"/>
    <n v="0"/>
    <m/>
    <m/>
    <s v="Not Started"/>
    <s v="No"/>
    <s v="No"/>
    <s v="No"/>
    <n v="0"/>
    <n v="0"/>
    <m/>
    <m/>
    <s v="Not Started"/>
    <s v="No"/>
    <s v="No"/>
    <s v="No"/>
    <n v="0"/>
    <n v="0"/>
    <m/>
    <m/>
    <s v="Not Started"/>
    <s v="No"/>
    <s v="No"/>
    <s v="No"/>
    <m/>
    <m/>
    <n v="0"/>
    <m/>
    <m/>
  </r>
  <r>
    <s v="GV.RM-03 Ex1"/>
    <x v="0"/>
    <s v="The organization's cybersecurity risk management strategy, expectations, and policy are established, communicated, and monitored"/>
    <x v="4"/>
    <s v="Risk Management Strategy (GV.RM)"/>
    <s v="The organization's priorities, constraints, risk tolerance and appetite statements, and assumptions are established, communicated, and used to support operational risk decisions"/>
    <s v="GV.RM-03"/>
    <s v="Cybersecurity risk management activities and outcomes are included in enterprise risk management processes"/>
    <s v="Ex1: Aggregate and manage cybersecurity risks alongside other enterprise risks (e.g., compliance, financial, operational, regulatory, reputational, safety)"/>
    <s v="PM-03,PM-09,PM-30,RA-07,SR-02"/>
    <x v="1"/>
    <m/>
    <m/>
    <m/>
    <s v="PM-03,PM-09,PM-30,RA-07,SR-02"/>
    <m/>
    <n v="0"/>
    <n v="0"/>
    <m/>
    <m/>
    <s v="Not Started"/>
    <s v="No"/>
    <s v="No"/>
    <s v="No"/>
    <n v="0"/>
    <n v="0"/>
    <m/>
    <m/>
    <s v="Not Started"/>
    <s v="No"/>
    <s v="No"/>
    <s v="No"/>
    <n v="0"/>
    <n v="0"/>
    <m/>
    <m/>
    <s v="Not Started"/>
    <s v="No"/>
    <s v="No"/>
    <s v="No"/>
    <n v="0"/>
    <n v="0"/>
    <m/>
    <m/>
    <s v="Not Started"/>
    <s v="No"/>
    <s v="No"/>
    <s v="No"/>
    <m/>
    <m/>
    <n v="0"/>
    <m/>
    <m/>
  </r>
  <r>
    <s v="GV.RM-03 Ex2"/>
    <x v="0"/>
    <s v="The organization's cybersecurity risk management strategy, expectations, and policy are established, communicated, and monitored"/>
    <x v="4"/>
    <s v="Risk Management Strategy (GV.RM)"/>
    <s v="The organization's priorities, constraints, risk tolerance and appetite statements, and assumptions are established, communicated, and used to support operational risk decisions"/>
    <s v="GV.RM-03"/>
    <s v="Cybersecurity risk management activities and outcomes are included in enterprise risk management processes"/>
    <s v="Ex2: Include cybersecurity risk managers in enterprise risk management planning"/>
    <s v="PM-03,PM-09,PM-30,RA-07,SR-02"/>
    <x v="1"/>
    <m/>
    <m/>
    <m/>
    <s v="PM-03,PM-09,PM-30,RA-07,SR-02"/>
    <m/>
    <n v="0"/>
    <n v="0"/>
    <m/>
    <m/>
    <s v="Not Started"/>
    <s v="No"/>
    <s v="No"/>
    <s v="No"/>
    <n v="0"/>
    <n v="0"/>
    <m/>
    <m/>
    <s v="Not Started"/>
    <s v="No"/>
    <s v="No"/>
    <s v="No"/>
    <n v="0"/>
    <n v="0"/>
    <m/>
    <m/>
    <s v="Not Started"/>
    <s v="No"/>
    <s v="No"/>
    <s v="No"/>
    <n v="0"/>
    <n v="0"/>
    <m/>
    <m/>
    <s v="Not Started"/>
    <s v="No"/>
    <s v="No"/>
    <s v="No"/>
    <m/>
    <m/>
    <n v="0"/>
    <m/>
    <m/>
  </r>
  <r>
    <s v="GV.RM-03 Ex3"/>
    <x v="0"/>
    <s v="The organization's cybersecurity risk management strategy, expectations, and policy are established, communicated, and monitored"/>
    <x v="4"/>
    <s v="Risk Management Strategy (GV.RM)"/>
    <s v="The organization's priorities, constraints, risk tolerance and appetite statements, and assumptions are established, communicated, and used to support operational risk decisions"/>
    <s v="GV.RM-03"/>
    <s v="Cybersecurity risk management activities and outcomes are included in enterprise risk management processes"/>
    <s v="Ex3: Establish criteria for escalating cybersecurity risks within enterprise risk management"/>
    <s v="PM-03,PM-09,PM-30,RA-07,SR-02"/>
    <x v="1"/>
    <m/>
    <m/>
    <m/>
    <s v="PM-03,PM-09,PM-30,RA-07,SR-02"/>
    <m/>
    <n v="0"/>
    <n v="0"/>
    <m/>
    <m/>
    <s v="Not Started"/>
    <s v="No"/>
    <s v="No"/>
    <s v="No"/>
    <n v="0"/>
    <n v="0"/>
    <m/>
    <m/>
    <s v="Not Started"/>
    <s v="No"/>
    <s v="No"/>
    <s v="No"/>
    <n v="0"/>
    <n v="0"/>
    <m/>
    <m/>
    <s v="Not Started"/>
    <s v="No"/>
    <s v="No"/>
    <s v="No"/>
    <n v="0"/>
    <n v="0"/>
    <m/>
    <m/>
    <s v="Not Started"/>
    <s v="No"/>
    <s v="No"/>
    <s v="No"/>
    <m/>
    <m/>
    <n v="0"/>
    <m/>
    <m/>
  </r>
  <r>
    <s v="GV.RM-04 Ex1"/>
    <x v="0"/>
    <s v="The organization's cybersecurity risk management strategy, expectations, and policy are established, communicated, and monitored"/>
    <x v="4"/>
    <s v="Risk Management Strategy (GV.RM)"/>
    <s v="The organization's priorities, constraints, risk tolerance and appetite statements, and assumptions are established, communicated, and used to support operational risk decisions"/>
    <s v="GV.RM-04"/>
    <s v="Strategic direction that describes appropriate risk response options is established and communicated"/>
    <s v="Ex1: Specify criteria for accepting and avoiding cybersecurity risk for various classifications of data"/>
    <s v="PM-09,PM-28,PM-30,SR-02"/>
    <x v="1"/>
    <m/>
    <m/>
    <m/>
    <s v="PM-09,PM-28,PM-30,SR-02"/>
    <m/>
    <n v="0"/>
    <n v="0"/>
    <m/>
    <m/>
    <s v="Not Started"/>
    <s v="No"/>
    <s v="No"/>
    <s v="No"/>
    <n v="0"/>
    <n v="0"/>
    <m/>
    <m/>
    <s v="Not Started"/>
    <s v="No"/>
    <s v="No"/>
    <s v="No"/>
    <n v="0"/>
    <n v="0"/>
    <m/>
    <m/>
    <s v="Not Started"/>
    <s v="No"/>
    <s v="No"/>
    <s v="No"/>
    <n v="0"/>
    <n v="0"/>
    <m/>
    <m/>
    <s v="Not Started"/>
    <s v="No"/>
    <s v="No"/>
    <s v="No"/>
    <m/>
    <m/>
    <n v="0"/>
    <m/>
    <m/>
  </r>
  <r>
    <s v="GV.RM-04 Ex2"/>
    <x v="0"/>
    <s v="The organization's cybersecurity risk management strategy, expectations, and policy are established, communicated, and monitored"/>
    <x v="4"/>
    <s v="Risk Management Strategy (GV.RM)"/>
    <s v="The organization's priorities, constraints, risk tolerance and appetite statements, and assumptions are established, communicated, and used to support operational risk decisions"/>
    <s v="GV.RM-04"/>
    <s v="Strategic direction that describes appropriate risk response options is established and communicated"/>
    <s v="Ex2: Determine whether to purchase cybersecurity insurance"/>
    <s v="PM-09,PM-28,PM-30,SR-02"/>
    <x v="1"/>
    <m/>
    <m/>
    <m/>
    <s v="PM-09,PM-28,PM-30,SR-02"/>
    <m/>
    <n v="0"/>
    <n v="0"/>
    <m/>
    <m/>
    <s v="Not Started"/>
    <s v="No"/>
    <s v="No"/>
    <s v="No"/>
    <n v="0"/>
    <n v="0"/>
    <m/>
    <m/>
    <s v="Not Started"/>
    <s v="No"/>
    <s v="No"/>
    <s v="No"/>
    <n v="0"/>
    <n v="0"/>
    <m/>
    <m/>
    <s v="Not Started"/>
    <s v="No"/>
    <s v="No"/>
    <s v="No"/>
    <n v="0"/>
    <n v="0"/>
    <m/>
    <m/>
    <s v="Not Started"/>
    <s v="No"/>
    <s v="No"/>
    <s v="No"/>
    <m/>
    <m/>
    <n v="0"/>
    <m/>
    <m/>
  </r>
  <r>
    <s v="GV.RM-04 Ex3"/>
    <x v="0"/>
    <s v="The organization's cybersecurity risk management strategy, expectations, and policy are established, communicated, and monitored"/>
    <x v="4"/>
    <s v="Risk Management Strategy (GV.RM)"/>
    <s v="The organization's priorities, constraints, risk tolerance and appetite statements, and assumptions are established, communicated, and used to support operational risk decisions"/>
    <s v="GV.RM-04"/>
    <s v="Strategic direction that describes appropriate risk response options is established and communicated"/>
    <s v="Ex3: Document conditions under which shared responsibility models are acceptable (e.g., outsourcing certain cybersecurity functions, having a third party perform financial transactions on behalf of the organization, using public cloud-based services)"/>
    <s v="PM-09,PM-28,PM-30,SR-02"/>
    <x v="1"/>
    <m/>
    <m/>
    <m/>
    <s v="PM-09,PM-28,PM-30,SR-02"/>
    <m/>
    <n v="0"/>
    <n v="0"/>
    <m/>
    <m/>
    <s v="Not Started"/>
    <s v="No"/>
    <s v="No"/>
    <s v="No"/>
    <n v="0"/>
    <n v="0"/>
    <m/>
    <m/>
    <s v="Not Started"/>
    <s v="No"/>
    <s v="No"/>
    <s v="No"/>
    <n v="0"/>
    <n v="0"/>
    <m/>
    <m/>
    <s v="Not Started"/>
    <s v="No"/>
    <s v="No"/>
    <s v="No"/>
    <n v="0"/>
    <n v="0"/>
    <m/>
    <m/>
    <s v="Not Started"/>
    <s v="No"/>
    <s v="No"/>
    <s v="No"/>
    <m/>
    <m/>
    <n v="0"/>
    <m/>
    <m/>
  </r>
  <r>
    <s v="GV.RM-05 Ex1"/>
    <x v="0"/>
    <s v="The organization's cybersecurity risk management strategy, expectations, and policy are established, communicated, and monitored"/>
    <x v="4"/>
    <s v="Risk Management Strategy (GV.RM)"/>
    <s v="The organization's priorities, constraints, risk tolerance and appetite statements, and assumptions are established, communicated, and used to support operational risk decisions"/>
    <s v="GV.RM-05"/>
    <s v="Lines of communication across the organization are established for cybersecurity risks, including risks from suppliers and other third parties"/>
    <s v="Ex1: Determine how to update senior executives, directors, and management on the organization's cybersecurity posture at agreed-upon intervals"/>
    <s v="PM-09,PM-30"/>
    <x v="1"/>
    <m/>
    <m/>
    <m/>
    <s v="PM-09,PM-30"/>
    <m/>
    <n v="0"/>
    <n v="0"/>
    <m/>
    <m/>
    <s v="Not Started"/>
    <s v="No"/>
    <s v="No"/>
    <s v="No"/>
    <n v="0"/>
    <n v="0"/>
    <m/>
    <m/>
    <s v="Not Started"/>
    <s v="No"/>
    <s v="No"/>
    <s v="No"/>
    <n v="0"/>
    <n v="0"/>
    <m/>
    <m/>
    <s v="Not Started"/>
    <s v="No"/>
    <s v="No"/>
    <s v="No"/>
    <n v="0"/>
    <n v="0"/>
    <m/>
    <m/>
    <s v="Not Started"/>
    <s v="No"/>
    <s v="No"/>
    <s v="No"/>
    <m/>
    <m/>
    <n v="0"/>
    <m/>
    <m/>
  </r>
  <r>
    <s v="GV.RM-05 Ex2"/>
    <x v="0"/>
    <s v="The organization's cybersecurity risk management strategy, expectations, and policy are established, communicated, and monitored"/>
    <x v="4"/>
    <s v="Risk Management Strategy (GV.RM)"/>
    <s v="The organization's priorities, constraints, risk tolerance and appetite statements, and assumptions are established, communicated, and used to support operational risk decisions"/>
    <s v="GV.RM-05"/>
    <s v="Lines of communication across the organization are established for cybersecurity risks, including risks from suppliers and other third parties"/>
    <s v="Ex2: Identify how all departments across the organization - such as management, operations, internal auditors, legal, acquisition, physical security, and HR - will communicate with each other about cybersecurity risks"/>
    <s v="PM-09,PM-30"/>
    <x v="1"/>
    <m/>
    <m/>
    <m/>
    <s v="PM-09,PM-30"/>
    <m/>
    <n v="0"/>
    <n v="0"/>
    <m/>
    <m/>
    <s v="Not Started"/>
    <s v="No"/>
    <s v="No"/>
    <s v="No"/>
    <n v="0"/>
    <n v="0"/>
    <m/>
    <m/>
    <s v="Not Started"/>
    <s v="No"/>
    <s v="No"/>
    <s v="No"/>
    <n v="0"/>
    <n v="0"/>
    <m/>
    <m/>
    <s v="Not Started"/>
    <s v="No"/>
    <s v="No"/>
    <s v="No"/>
    <n v="0"/>
    <n v="0"/>
    <m/>
    <m/>
    <s v="Not Started"/>
    <s v="No"/>
    <s v="No"/>
    <s v="No"/>
    <m/>
    <m/>
    <n v="0"/>
    <m/>
    <m/>
  </r>
  <r>
    <s v="GV.RM-06 Ex1"/>
    <x v="0"/>
    <s v="The organization's cybersecurity risk management strategy, expectations, and policy are established, communicated, and monitored"/>
    <x v="4"/>
    <s v="Risk Management Strategy (GV.RM)"/>
    <s v="The organization's priorities, constraints, risk tolerance and appetite statements, and assumptions are established, communicated, and used to support operational risk decisions"/>
    <s v="GV.RM-06"/>
    <s v="A standardized method for calculating, documenting, categorizing, and prioritizing cybersecurity risks is established and communicated"/>
    <s v="Ex1: Establish criteria for using a quantitative approach to cybersecurity risk analysis, and specify probability and exposure formulas"/>
    <s v="PM-09,PM-18,PM-28,PM-30,RA-03"/>
    <x v="1"/>
    <m/>
    <m/>
    <m/>
    <s v="PM-09,PM-18,PM-28,PM-30,RA-03"/>
    <m/>
    <n v="0"/>
    <n v="0"/>
    <m/>
    <m/>
    <s v="Not Started"/>
    <s v="No"/>
    <s v="No"/>
    <s v="No"/>
    <n v="0"/>
    <n v="0"/>
    <m/>
    <m/>
    <s v="Not Started"/>
    <s v="No"/>
    <s v="No"/>
    <s v="No"/>
    <n v="0"/>
    <n v="0"/>
    <m/>
    <m/>
    <s v="Not Started"/>
    <s v="No"/>
    <s v="No"/>
    <s v="No"/>
    <n v="0"/>
    <n v="0"/>
    <m/>
    <m/>
    <s v="Not Started"/>
    <s v="No"/>
    <s v="No"/>
    <s v="No"/>
    <m/>
    <m/>
    <n v="0"/>
    <m/>
    <m/>
  </r>
  <r>
    <s v="GV.RM-06 Ex2"/>
    <x v="0"/>
    <s v="The organization's cybersecurity risk management strategy, expectations, and policy are established, communicated, and monitored"/>
    <x v="4"/>
    <s v="Risk Management Strategy (GV.RM)"/>
    <s v="The organization's priorities, constraints, risk tolerance and appetite statements, and assumptions are established, communicated, and used to support operational risk decisions"/>
    <s v="GV.RM-06"/>
    <s v="A standardized method for calculating, documenting, categorizing, and prioritizing cybersecurity risks is established and communicated"/>
    <s v="Ex2: Create and use templates (e.g., a risk register) to document cybersecurity risk information (e.g., risk description, exposure, treatment, and ownership)"/>
    <s v="PM-09,PM-18,PM-28,PM-30,RA-03"/>
    <x v="1"/>
    <m/>
    <m/>
    <m/>
    <s v="PM-09,PM-18,PM-28,PM-30,RA-03"/>
    <m/>
    <n v="0"/>
    <n v="0"/>
    <m/>
    <m/>
    <s v="Not Started"/>
    <s v="No"/>
    <s v="No"/>
    <s v="No"/>
    <n v="0"/>
    <n v="0"/>
    <m/>
    <m/>
    <s v="Not Started"/>
    <s v="No"/>
    <s v="No"/>
    <s v="No"/>
    <n v="0"/>
    <n v="0"/>
    <m/>
    <m/>
    <s v="Not Started"/>
    <s v="No"/>
    <s v="No"/>
    <s v="No"/>
    <n v="0"/>
    <n v="0"/>
    <m/>
    <m/>
    <s v="Not Started"/>
    <s v="No"/>
    <s v="No"/>
    <s v="No"/>
    <m/>
    <m/>
    <n v="0"/>
    <m/>
    <m/>
  </r>
  <r>
    <s v="GV.RM-06 Ex3"/>
    <x v="0"/>
    <s v="The organization's cybersecurity risk management strategy, expectations, and policy are established, communicated, and monitored"/>
    <x v="4"/>
    <s v="Risk Management Strategy (GV.RM)"/>
    <s v="The organization's priorities, constraints, risk tolerance and appetite statements, and assumptions are established, communicated, and used to support operational risk decisions"/>
    <s v="GV.RM-06"/>
    <s v="A standardized method for calculating, documenting, categorizing, and prioritizing cybersecurity risks is established and communicated"/>
    <s v="Ex3: Establish criteria for risk prioritization at the appropriate levels within the enterprise"/>
    <s v="PM-09,PM-18,PM-28,PM-30,RA-03"/>
    <x v="1"/>
    <m/>
    <m/>
    <m/>
    <s v="PM-09,PM-18,PM-28,PM-30,RA-03"/>
    <m/>
    <n v="0"/>
    <n v="0"/>
    <m/>
    <m/>
    <s v="Not Started"/>
    <s v="No"/>
    <s v="No"/>
    <s v="No"/>
    <n v="0"/>
    <n v="0"/>
    <m/>
    <m/>
    <s v="Not Started"/>
    <s v="No"/>
    <s v="No"/>
    <s v="No"/>
    <n v="0"/>
    <n v="0"/>
    <m/>
    <m/>
    <s v="Not Started"/>
    <s v="No"/>
    <s v="No"/>
    <s v="No"/>
    <n v="0"/>
    <n v="0"/>
    <m/>
    <m/>
    <s v="Not Started"/>
    <s v="No"/>
    <s v="No"/>
    <s v="No"/>
    <m/>
    <m/>
    <n v="0"/>
    <m/>
    <m/>
  </r>
  <r>
    <s v="GV.RM-06 Ex4"/>
    <x v="0"/>
    <s v="The organization's cybersecurity risk management strategy, expectations, and policy are established, communicated, and monitored"/>
    <x v="4"/>
    <s v="Risk Management Strategy (GV.RM)"/>
    <s v="The organization's priorities, constraints, risk tolerance and appetite statements, and assumptions are established, communicated, and used to support operational risk decisions"/>
    <s v="GV.RM-06"/>
    <s v="A standardized method for calculating, documenting, categorizing, and prioritizing cybersecurity risks is established and communicated"/>
    <s v="Ex4: Use a consistent list of risk categories to support integrating, aggregating, and comparing cybersecurity risks"/>
    <s v="PM-09,PM-18,PM-28,PM-30,RA-03"/>
    <x v="1"/>
    <m/>
    <m/>
    <m/>
    <s v="PM-09,PM-18,PM-28,PM-30,RA-03"/>
    <m/>
    <n v="0"/>
    <n v="0"/>
    <m/>
    <m/>
    <s v="Not Started"/>
    <s v="No"/>
    <s v="No"/>
    <s v="No"/>
    <n v="0"/>
    <n v="0"/>
    <m/>
    <m/>
    <s v="Not Started"/>
    <s v="No"/>
    <s v="No"/>
    <s v="No"/>
    <n v="0"/>
    <n v="0"/>
    <m/>
    <m/>
    <s v="Not Started"/>
    <s v="No"/>
    <s v="No"/>
    <s v="No"/>
    <n v="0"/>
    <n v="0"/>
    <m/>
    <m/>
    <s v="Not Started"/>
    <s v="No"/>
    <s v="No"/>
    <s v="No"/>
    <m/>
    <m/>
    <n v="0"/>
    <m/>
    <m/>
  </r>
  <r>
    <s v="GV.RM-07 Ex1"/>
    <x v="0"/>
    <s v="The organization's cybersecurity risk management strategy, expectations, and policy are established, communicated, and monitored"/>
    <x v="4"/>
    <s v="Risk Management Strategy (GV.RM)"/>
    <s v="The organization's priorities, constraints, risk tolerance and appetite statements, and assumptions are established, communicated, and used to support operational risk decisions"/>
    <s v="GV.RM-07"/>
    <s v="Strategic opportunities (i.e., positive risks) are characterized and are included in organizational cybersecurity risk discussions"/>
    <s v="Ex1: Define and communicate guidance and methods for identifying opportunities and including them in risk discussions (e.g., strengths, weaknesses, opportunities, and threats [SWOT] analysis)"/>
    <s v="PM-09,PM-18,PM-28,PM-30,RA-03"/>
    <x v="1"/>
    <m/>
    <m/>
    <m/>
    <s v="PM-09,PM-18,PM-28,PM-30,RA-03"/>
    <m/>
    <n v="0"/>
    <n v="0"/>
    <m/>
    <m/>
    <s v="Not Started"/>
    <s v="No"/>
    <s v="No"/>
    <s v="No"/>
    <n v="0"/>
    <n v="0"/>
    <m/>
    <m/>
    <s v="Not Started"/>
    <s v="No"/>
    <s v="No"/>
    <s v="No"/>
    <n v="0"/>
    <n v="0"/>
    <m/>
    <m/>
    <s v="Not Started"/>
    <s v="No"/>
    <s v="No"/>
    <s v="No"/>
    <n v="0"/>
    <n v="0"/>
    <m/>
    <m/>
    <s v="Not Started"/>
    <s v="No"/>
    <s v="No"/>
    <s v="No"/>
    <m/>
    <m/>
    <n v="0"/>
    <m/>
    <m/>
  </r>
  <r>
    <s v="GV.RM-07 Ex2"/>
    <x v="0"/>
    <s v="The organization's cybersecurity risk management strategy, expectations, and policy are established, communicated, and monitored"/>
    <x v="4"/>
    <s v="Risk Management Strategy (GV.RM)"/>
    <s v="The organization's priorities, constraints, risk tolerance and appetite statements, and assumptions are established, communicated, and used to support operational risk decisions"/>
    <s v="GV.RM-07"/>
    <s v="Strategic opportunities (i.e., positive risks) are characterized and are included in organizational cybersecurity risk discussions"/>
    <s v="Ex2: Identify stretch goals and document them"/>
    <s v="PM-09,PM-18,PM-28,PM-30,RA-03"/>
    <x v="1"/>
    <m/>
    <m/>
    <m/>
    <s v="PM-09,PM-18,PM-28,PM-30,RA-03"/>
    <m/>
    <n v="0"/>
    <n v="0"/>
    <m/>
    <m/>
    <s v="Not Started"/>
    <s v="No"/>
    <s v="No"/>
    <s v="No"/>
    <n v="0"/>
    <n v="0"/>
    <m/>
    <m/>
    <s v="Not Started"/>
    <s v="No"/>
    <s v="No"/>
    <s v="No"/>
    <n v="0"/>
    <n v="0"/>
    <m/>
    <m/>
    <s v="Not Started"/>
    <s v="No"/>
    <s v="No"/>
    <s v="No"/>
    <n v="0"/>
    <n v="0"/>
    <m/>
    <m/>
    <s v="Not Started"/>
    <s v="No"/>
    <s v="No"/>
    <s v="No"/>
    <m/>
    <m/>
    <n v="0"/>
    <m/>
    <m/>
  </r>
  <r>
    <s v="GV.RM-07 Ex3"/>
    <x v="0"/>
    <s v="The organization's cybersecurity risk management strategy, expectations, and policy are established, communicated, and monitored"/>
    <x v="4"/>
    <s v="Risk Management Strategy (GV.RM)"/>
    <s v="The organization's priorities, constraints, risk tolerance and appetite statements, and assumptions are established, communicated, and used to support operational risk decisions"/>
    <s v="GV.RM-07"/>
    <s v="Strategic opportunities (i.e., positive risks) are characterized and are included in organizational cybersecurity risk discussions"/>
    <s v="Ex3: Calculate, document, and prioritize positive risks alongside negative risks"/>
    <s v="PM-09,PM-18,PM-28,PM-30,RA-03"/>
    <x v="1"/>
    <m/>
    <m/>
    <m/>
    <s v="PM-09,PM-18,PM-28,PM-30,RA-03"/>
    <m/>
    <n v="0"/>
    <n v="0"/>
    <m/>
    <m/>
    <s v="Not Started"/>
    <s v="No"/>
    <s v="No"/>
    <s v="No"/>
    <n v="0"/>
    <n v="0"/>
    <m/>
    <m/>
    <s v="Not Started"/>
    <s v="No"/>
    <s v="No"/>
    <s v="No"/>
    <n v="0"/>
    <n v="0"/>
    <m/>
    <m/>
    <s v="Not Started"/>
    <s v="No"/>
    <s v="No"/>
    <s v="No"/>
    <n v="0"/>
    <n v="0"/>
    <m/>
    <m/>
    <s v="Not Started"/>
    <s v="No"/>
    <s v="No"/>
    <s v="No"/>
    <m/>
    <m/>
    <n v="0"/>
    <m/>
    <m/>
  </r>
  <r>
    <s v="GV.RR-01 Ex1"/>
    <x v="0"/>
    <s v="The organization's cybersecurity risk management strategy, expectations, and policy are established, communicated, and monitored"/>
    <x v="2"/>
    <s v="Roles, Responsibilities, and Authorities (GV.RR)"/>
    <s v="Cybersecurity roles, responsibilities, and authorities to foster accountability, performance assessment, and continuous improvement are established and communicated"/>
    <s v="GV.RR-01"/>
    <s v="Organizational leadership is responsible and accountable for cybersecurity risk and fosters a culture that is risk-aware, ethical, and continually improving"/>
    <s v="Ex1: Leaders (e.g., directors) agree on their roles and responsibilities in developing, implementing, and assessing the organization's cybersecurity strategy"/>
    <s v="PM-02,PM-19,PM-23,PM-24,PM-29"/>
    <x v="1"/>
    <m/>
    <m/>
    <m/>
    <s v="PM-02,PM-19,PM-23,PM-24,PM-29"/>
    <m/>
    <n v="0"/>
    <n v="0"/>
    <m/>
    <m/>
    <s v="Not Started"/>
    <s v="No"/>
    <s v="No"/>
    <s v="No"/>
    <n v="0"/>
    <n v="0"/>
    <m/>
    <m/>
    <s v="Not Started"/>
    <s v="No"/>
    <s v="No"/>
    <s v="No"/>
    <n v="0"/>
    <n v="0"/>
    <m/>
    <m/>
    <s v="Not Started"/>
    <s v="No"/>
    <s v="No"/>
    <s v="No"/>
    <n v="0"/>
    <n v="0"/>
    <m/>
    <m/>
    <s v="Not Started"/>
    <s v="No"/>
    <s v="No"/>
    <s v="No"/>
    <m/>
    <m/>
    <n v="0"/>
    <m/>
    <m/>
  </r>
  <r>
    <s v="GV.RR-01 Ex2"/>
    <x v="0"/>
    <s v="The organization's cybersecurity risk management strategy, expectations, and policy are established, communicated, and monitored"/>
    <x v="2"/>
    <s v="Roles, Responsibilities, and Authorities (GV.RR)"/>
    <s v="Cybersecurity roles, responsibilities, and authorities to foster accountability, performance assessment, and continuous improvement are established and communicated"/>
    <s v="GV.RR-01"/>
    <s v="Organizational leadership is responsible and accountable for cybersecurity risk and fosters a culture that is risk-aware, ethical, and continually improving"/>
    <s v="Ex2: Share leaders' expectations regarding a secure and ethical culture, especially when current events present the opportunity to highlight positive or negative examples of cybersecurity risk management"/>
    <s v="PM-02,PM-19,PM-23,PM-24,PM-29"/>
    <x v="1"/>
    <m/>
    <m/>
    <m/>
    <s v="PM-02,PM-19,PM-23,PM-24,PM-29"/>
    <m/>
    <n v="0"/>
    <n v="0"/>
    <m/>
    <m/>
    <s v="Not Started"/>
    <s v="No"/>
    <s v="No"/>
    <s v="No"/>
    <n v="0"/>
    <n v="0"/>
    <m/>
    <m/>
    <s v="Not Started"/>
    <s v="No"/>
    <s v="No"/>
    <s v="No"/>
    <n v="0"/>
    <n v="0"/>
    <m/>
    <m/>
    <s v="Not Started"/>
    <s v="No"/>
    <s v="No"/>
    <s v="No"/>
    <n v="0"/>
    <n v="0"/>
    <m/>
    <m/>
    <s v="Not Started"/>
    <s v="No"/>
    <s v="No"/>
    <s v="No"/>
    <m/>
    <m/>
    <n v="0"/>
    <m/>
    <m/>
  </r>
  <r>
    <s v="GV.RR-01 Ex3"/>
    <x v="0"/>
    <s v="The organization's cybersecurity risk management strategy, expectations, and policy are established, communicated, and monitored"/>
    <x v="2"/>
    <s v="Roles, Responsibilities, and Authorities (GV.RR)"/>
    <s v="Cybersecurity roles, responsibilities, and authorities to foster accountability, performance assessment, and continuous improvement are established and communicated"/>
    <s v="GV.RR-01"/>
    <s v="Organizational leadership is responsible and accountable for cybersecurity risk and fosters a culture that is risk-aware, ethical, and continually improving"/>
    <s v="Ex3: Leaders direct the CISO to maintain a comprehensive cybersecurity risk strategy and review and update it at least annually and after major events"/>
    <s v="PM-02,PM-19,PM-23,PM-24,PM-29"/>
    <x v="1"/>
    <m/>
    <m/>
    <m/>
    <s v="PM-02,PM-19,PM-23,PM-24,PM-29"/>
    <m/>
    <n v="0"/>
    <n v="0"/>
    <m/>
    <m/>
    <s v="Not Started"/>
    <s v="No"/>
    <s v="No"/>
    <s v="No"/>
    <n v="0"/>
    <n v="0"/>
    <m/>
    <m/>
    <s v="Not Started"/>
    <s v="No"/>
    <s v="No"/>
    <s v="No"/>
    <n v="0"/>
    <n v="0"/>
    <m/>
    <m/>
    <s v="Not Started"/>
    <s v="No"/>
    <s v="No"/>
    <s v="No"/>
    <n v="0"/>
    <n v="0"/>
    <m/>
    <m/>
    <s v="Not Started"/>
    <s v="No"/>
    <s v="No"/>
    <s v="No"/>
    <m/>
    <m/>
    <n v="0"/>
    <m/>
    <m/>
  </r>
  <r>
    <s v="GV.RR-02 Ex2"/>
    <x v="0"/>
    <s v="The organization's cybersecurity risk management strategy, expectations, and policy are established, communicated, and monitored"/>
    <x v="2"/>
    <s v="Roles, Responsibilities, and Authorities (GV.RR)"/>
    <s v="Cybersecurity roles, responsibilities, and authorities to foster accountability, performance assessment, and continuous improvement are established and communicated"/>
    <s v="GV.RR-02"/>
    <s v="Roles, responsibilities, and authorities related to cybersecurity risk management are established, communicated, understood, and enforced"/>
    <s v="Ex2: Document who is responsible and accountable for cybersecurity risk management activities and how those teams and individuals are to be consulted and informed"/>
    <s v="PM-02,PM-13,PM-19,PM-23,PM-24,PM-29"/>
    <x v="1"/>
    <m/>
    <m/>
    <m/>
    <s v="PM-02,PM-13,PM-19,PM-23,PM-24,PM-29"/>
    <m/>
    <n v="0"/>
    <n v="0"/>
    <m/>
    <m/>
    <s v="Not Started"/>
    <s v="No"/>
    <s v="No"/>
    <s v="No"/>
    <n v="0"/>
    <n v="0"/>
    <m/>
    <m/>
    <s v="Not Started"/>
    <s v="No"/>
    <s v="No"/>
    <s v="No"/>
    <n v="0"/>
    <n v="0"/>
    <m/>
    <m/>
    <s v="Not Started"/>
    <s v="No"/>
    <s v="No"/>
    <s v="No"/>
    <n v="0"/>
    <n v="0"/>
    <m/>
    <m/>
    <s v="Not Started"/>
    <s v="No"/>
    <s v="No"/>
    <s v="No"/>
    <m/>
    <m/>
    <n v="0"/>
    <m/>
    <m/>
  </r>
  <r>
    <s v="GV.RR-02 Ex3"/>
    <x v="0"/>
    <s v="The organization's cybersecurity risk management strategy, expectations, and policy are established, communicated, and monitored"/>
    <x v="2"/>
    <s v="Roles, Responsibilities, and Authorities (GV.RR)"/>
    <s v="Cybersecurity roles, responsibilities, and authorities to foster accountability, performance assessment, and continuous improvement are established and communicated"/>
    <s v="GV.RR-02"/>
    <s v="Roles, responsibilities, and authorities related to cybersecurity risk management are established, communicated, understood, and enforced"/>
    <s v="Ex3: Include cybersecurity responsibilities and performance requirements in personnel descriptions"/>
    <s v="PM-02,PM-13,PM-19,PM-23,PM-24,PM-29"/>
    <x v="1"/>
    <m/>
    <m/>
    <m/>
    <s v="PM-02,PM-13,PM-19,PM-23,PM-24,PM-29"/>
    <m/>
    <n v="0"/>
    <n v="0"/>
    <m/>
    <m/>
    <s v="Not Started"/>
    <s v="No"/>
    <s v="No"/>
    <s v="No"/>
    <n v="0"/>
    <n v="0"/>
    <m/>
    <m/>
    <s v="Not Started"/>
    <s v="No"/>
    <s v="No"/>
    <s v="No"/>
    <n v="0"/>
    <n v="0"/>
    <m/>
    <m/>
    <s v="Not Started"/>
    <s v="No"/>
    <s v="No"/>
    <s v="No"/>
    <n v="0"/>
    <n v="0"/>
    <m/>
    <m/>
    <s v="Not Started"/>
    <s v="No"/>
    <s v="No"/>
    <s v="No"/>
    <m/>
    <m/>
    <n v="0"/>
    <m/>
    <m/>
  </r>
  <r>
    <s v="GV.RR-02 Ex4"/>
    <x v="0"/>
    <s v="The organization's cybersecurity risk management strategy, expectations, and policy are established, communicated, and monitored"/>
    <x v="2"/>
    <s v="Roles, Responsibilities, and Authorities (GV.RR)"/>
    <s v="Cybersecurity roles, responsibilities, and authorities to foster accountability, performance assessment, and continuous improvement are established and communicated"/>
    <s v="GV.RR-02"/>
    <s v="Roles, responsibilities, and authorities related to cybersecurity risk management are established, communicated, understood, and enforced"/>
    <s v="Ex4: Document performance goals for personnel with cybersecurity risk management responsibilities, and periodically measure performance to identify areas for improvement"/>
    <s v="PM-02,PM-13,PM-19,PM-23,PM-24,PM-29"/>
    <x v="1"/>
    <m/>
    <m/>
    <m/>
    <s v="PM-02,PM-13,PM-19,PM-23,PM-24,PM-29"/>
    <m/>
    <n v="0"/>
    <n v="0"/>
    <m/>
    <m/>
    <s v="Not Started"/>
    <s v="No"/>
    <s v="No"/>
    <s v="No"/>
    <n v="0"/>
    <n v="0"/>
    <m/>
    <m/>
    <s v="Not Started"/>
    <s v="No"/>
    <s v="No"/>
    <s v="No"/>
    <n v="0"/>
    <n v="0"/>
    <m/>
    <m/>
    <s v="Not Started"/>
    <s v="No"/>
    <s v="No"/>
    <s v="No"/>
    <n v="0"/>
    <n v="0"/>
    <m/>
    <m/>
    <s v="Not Started"/>
    <s v="No"/>
    <s v="No"/>
    <s v="No"/>
    <m/>
    <m/>
    <n v="0"/>
    <m/>
    <m/>
  </r>
  <r>
    <s v="GV.RR-02 Ex5"/>
    <x v="0"/>
    <s v="The organization's cybersecurity risk management strategy, expectations, and policy are established, communicated, and monitored"/>
    <x v="2"/>
    <s v="Roles, Responsibilities, and Authorities (GV.RR)"/>
    <s v="Cybersecurity roles, responsibilities, and authorities to foster accountability, performance assessment, and continuous improvement are established and communicated"/>
    <s v="GV.RR-02"/>
    <s v="Roles, responsibilities, and authorities related to cybersecurity risk management are established, communicated, understood, and enforced"/>
    <s v="Ex5: Clearly articulate cybersecurity responsibilities within operations, risk functions, and internal audit functions"/>
    <s v="PM-02,PM-13,PM-19,PM-23,PM-24,PM-29"/>
    <x v="1"/>
    <m/>
    <m/>
    <m/>
    <s v="PM-02,PM-13,PM-19,PM-23,PM-24,PM-29"/>
    <m/>
    <n v="0"/>
    <n v="0"/>
    <m/>
    <m/>
    <s v="Not Started"/>
    <s v="No"/>
    <s v="No"/>
    <s v="No"/>
    <n v="0"/>
    <n v="0"/>
    <m/>
    <m/>
    <s v="Not Started"/>
    <s v="No"/>
    <s v="No"/>
    <s v="No"/>
    <n v="0"/>
    <n v="0"/>
    <m/>
    <m/>
    <s v="Not Started"/>
    <s v="No"/>
    <s v="No"/>
    <s v="No"/>
    <n v="0"/>
    <n v="0"/>
    <m/>
    <m/>
    <s v="Not Started"/>
    <s v="No"/>
    <s v="No"/>
    <s v="No"/>
    <m/>
    <m/>
    <n v="0"/>
    <m/>
    <m/>
  </r>
  <r>
    <s v="GV.RR-03 Ex1"/>
    <x v="0"/>
    <s v="The organization's cybersecurity risk management strategy, expectations, and policy are established, communicated, and monitored"/>
    <x v="2"/>
    <s v="Roles, Responsibilities, and Authorities (GV.RR)"/>
    <s v="Cybersecurity roles, responsibilities, and authorities to foster accountability, performance assessment, and continuous improvement are established and communicated"/>
    <s v="GV.RR-03"/>
    <s v="Adequate resources are allocated commensurate with the cybersecurity risk strategy, roles, responsibilities, and policies"/>
    <s v="Ex1: Conduct periodic management reviews to ensure that those given cybersecurity risk management responsibilities have the necessary authority"/>
    <s v="PM-03"/>
    <x v="1"/>
    <m/>
    <m/>
    <m/>
    <s v="PM-03"/>
    <m/>
    <n v="0"/>
    <n v="0"/>
    <m/>
    <m/>
    <s v="Not Started"/>
    <s v="No"/>
    <s v="No"/>
    <s v="No"/>
    <n v="0"/>
    <n v="0"/>
    <m/>
    <m/>
    <s v="Not Started"/>
    <s v="No"/>
    <s v="No"/>
    <s v="No"/>
    <n v="0"/>
    <n v="0"/>
    <m/>
    <m/>
    <s v="Not Started"/>
    <s v="No"/>
    <s v="No"/>
    <s v="No"/>
    <n v="0"/>
    <n v="0"/>
    <m/>
    <m/>
    <s v="Not Started"/>
    <s v="No"/>
    <s v="No"/>
    <s v="No"/>
    <m/>
    <m/>
    <n v="0"/>
    <m/>
    <m/>
  </r>
  <r>
    <s v="GV.RR-03 Ex2"/>
    <x v="0"/>
    <s v="The organization's cybersecurity risk management strategy, expectations, and policy are established, communicated, and monitored"/>
    <x v="2"/>
    <s v="Roles, Responsibilities, and Authorities (GV.RR)"/>
    <s v="Cybersecurity roles, responsibilities, and authorities to foster accountability, performance assessment, and continuous improvement are established and communicated"/>
    <s v="GV.RR-03"/>
    <s v="Adequate resources are allocated commensurate with the cybersecurity risk strategy, roles, responsibilities, and policies"/>
    <s v="Ex2: Identify resource allocation and investment in line with risk tolerance and response"/>
    <s v="PM-03"/>
    <x v="1"/>
    <m/>
    <m/>
    <m/>
    <s v="PM-03"/>
    <m/>
    <n v="0"/>
    <n v="0"/>
    <m/>
    <m/>
    <s v="Not Started"/>
    <s v="No"/>
    <s v="No"/>
    <s v="No"/>
    <n v="0"/>
    <n v="0"/>
    <m/>
    <m/>
    <s v="Not Started"/>
    <s v="No"/>
    <s v="No"/>
    <s v="No"/>
    <n v="0"/>
    <n v="0"/>
    <m/>
    <m/>
    <s v="Not Started"/>
    <s v="No"/>
    <s v="No"/>
    <s v="No"/>
    <n v="0"/>
    <n v="0"/>
    <m/>
    <m/>
    <s v="Not Started"/>
    <s v="No"/>
    <s v="No"/>
    <s v="No"/>
    <m/>
    <m/>
    <n v="0"/>
    <m/>
    <m/>
  </r>
  <r>
    <s v="GV.RR-03 Ex3"/>
    <x v="0"/>
    <s v="The organization's cybersecurity risk management strategy, expectations, and policy are established, communicated, and monitored"/>
    <x v="2"/>
    <s v="Roles, Responsibilities, and Authorities (GV.RR)"/>
    <s v="Cybersecurity roles, responsibilities, and authorities to foster accountability, performance assessment, and continuous improvement are established and communicated"/>
    <s v="GV.RR-03"/>
    <s v="Adequate resources are allocated commensurate with the cybersecurity risk strategy, roles, responsibilities, and policies"/>
    <s v="Ex3: Provide adequate and sufficient people, process, and technical resources to support the cybersecurity strategy"/>
    <s v="PM-03"/>
    <x v="1"/>
    <m/>
    <m/>
    <m/>
    <s v="PM-03"/>
    <m/>
    <n v="0"/>
    <n v="0"/>
    <m/>
    <m/>
    <s v="Not Started"/>
    <s v="No"/>
    <s v="No"/>
    <s v="No"/>
    <n v="0"/>
    <n v="0"/>
    <m/>
    <m/>
    <s v="Not Started"/>
    <s v="No"/>
    <s v="No"/>
    <s v="No"/>
    <n v="0"/>
    <n v="0"/>
    <m/>
    <m/>
    <s v="Not Started"/>
    <s v="No"/>
    <s v="No"/>
    <s v="No"/>
    <n v="0"/>
    <n v="0"/>
    <m/>
    <m/>
    <s v="Not Started"/>
    <s v="No"/>
    <s v="No"/>
    <s v="No"/>
    <m/>
    <m/>
    <n v="0"/>
    <m/>
    <m/>
  </r>
  <r>
    <s v="GV.RR-04 Ex1"/>
    <x v="0"/>
    <s v="The organization's cybersecurity risk management strategy, expectations, and policy are established, communicated, and monitored"/>
    <x v="2"/>
    <s v="Roles, Responsibilities, and Authorities (GV.RR)"/>
    <s v="Cybersecurity roles, responsibilities, and authorities to foster accountability, performance assessment, and continuous improvement are established and communicated"/>
    <s v="GV.RR-04"/>
    <s v="Cybersecurity is included in human resources practices"/>
    <s v="Ex1: Integrate cybersecurity risk management considerations into human resources processes (e.g., personnel screening, onboarding, change notification, offboarding)"/>
    <s v="PM-13,PS-01,PS-07,PS-09"/>
    <x v="1"/>
    <m/>
    <m/>
    <m/>
    <s v="PM-13,PS-01,PS-07,PS-09"/>
    <m/>
    <n v="0"/>
    <n v="0"/>
    <m/>
    <m/>
    <s v="Not Started"/>
    <s v="No"/>
    <s v="No"/>
    <s v="No"/>
    <n v="0"/>
    <n v="0"/>
    <m/>
    <m/>
    <s v="Not Started"/>
    <s v="No"/>
    <s v="No"/>
    <s v="No"/>
    <n v="0"/>
    <n v="0"/>
    <m/>
    <m/>
    <s v="Not Started"/>
    <s v="No"/>
    <s v="No"/>
    <s v="No"/>
    <n v="0"/>
    <n v="0"/>
    <m/>
    <m/>
    <s v="Not Started"/>
    <s v="No"/>
    <s v="No"/>
    <s v="No"/>
    <m/>
    <m/>
    <n v="0"/>
    <m/>
    <m/>
  </r>
  <r>
    <s v="GV.RR-04 Ex2"/>
    <x v="0"/>
    <s v="The organization's cybersecurity risk management strategy, expectations, and policy are established, communicated, and monitored"/>
    <x v="2"/>
    <s v="Roles, Responsibilities, and Authorities (GV.RR)"/>
    <s v="Cybersecurity roles, responsibilities, and authorities to foster accountability, performance assessment, and continuous improvement are established and communicated"/>
    <s v="GV.RR-04"/>
    <s v="Cybersecurity is included in human resources practices"/>
    <s v="Ex2: Consider cybersecurity knowledge to be a positive factor in hiring, training, and retention decisions"/>
    <s v="PM-13,PS-01,PS-07,PS-09"/>
    <x v="1"/>
    <m/>
    <m/>
    <m/>
    <s v="PM-13,PS-01,PS-07,PS-09"/>
    <m/>
    <n v="0"/>
    <n v="0"/>
    <m/>
    <m/>
    <s v="Not Started"/>
    <s v="No"/>
    <s v="No"/>
    <s v="No"/>
    <n v="0"/>
    <n v="0"/>
    <m/>
    <m/>
    <s v="Not Started"/>
    <s v="No"/>
    <s v="No"/>
    <s v="No"/>
    <n v="0"/>
    <n v="0"/>
    <m/>
    <m/>
    <s v="Not Started"/>
    <s v="No"/>
    <s v="No"/>
    <s v="No"/>
    <n v="0"/>
    <n v="0"/>
    <m/>
    <m/>
    <s v="Not Started"/>
    <s v="No"/>
    <s v="No"/>
    <s v="No"/>
    <m/>
    <m/>
    <n v="0"/>
    <m/>
    <m/>
  </r>
  <r>
    <s v="GV.RR-04 Ex3"/>
    <x v="0"/>
    <s v="The organization's cybersecurity risk management strategy, expectations, and policy are established, communicated, and monitored"/>
    <x v="2"/>
    <s v="Roles, Responsibilities, and Authorities (GV.RR)"/>
    <s v="Cybersecurity roles, responsibilities, and authorities to foster accountability, performance assessment, and continuous improvement are established and communicated"/>
    <s v="GV.RR-04"/>
    <s v="Cybersecurity is included in human resources practices"/>
    <s v="Ex3: Conduct background checks prior to onboarding new personnel for sensitive roles, and periodically repeat background checks for personnel with such roles"/>
    <s v="PM-13,PS-01,PS-07,PS-09"/>
    <x v="1"/>
    <m/>
    <m/>
    <m/>
    <s v="PM-13,PS-01,PS-07,PS-09"/>
    <m/>
    <n v="0"/>
    <n v="0"/>
    <m/>
    <m/>
    <s v="Not Started"/>
    <s v="No"/>
    <s v="No"/>
    <s v="No"/>
    <n v="0"/>
    <n v="0"/>
    <m/>
    <m/>
    <s v="Not Started"/>
    <s v="No"/>
    <s v="No"/>
    <s v="No"/>
    <n v="0"/>
    <n v="0"/>
    <m/>
    <m/>
    <s v="Not Started"/>
    <s v="No"/>
    <s v="No"/>
    <s v="No"/>
    <n v="0"/>
    <n v="0"/>
    <m/>
    <m/>
    <s v="Not Started"/>
    <s v="No"/>
    <s v="No"/>
    <s v="No"/>
    <m/>
    <m/>
    <n v="0"/>
    <m/>
    <m/>
  </r>
  <r>
    <s v="GV.RR-04 Ex4"/>
    <x v="0"/>
    <s v="The organization's cybersecurity risk management strategy, expectations, and policy are established, communicated, and monitored"/>
    <x v="2"/>
    <s v="Roles, Responsibilities, and Authorities (GV.RR)"/>
    <s v="Cybersecurity roles, responsibilities, and authorities to foster accountability, performance assessment, and continuous improvement are established and communicated"/>
    <s v="GV.RR-04"/>
    <s v="Cybersecurity is included in human resources practices"/>
    <s v="Ex4: Define and enforce obligations for personnel to be aware of, adhere to, and uphold security policies as they relate to their roles"/>
    <s v="PM-13,PS-01,PS-07,PS-09"/>
    <x v="1"/>
    <m/>
    <m/>
    <m/>
    <s v="PM-13,PS-01,PS-07,PS-09"/>
    <m/>
    <n v="0"/>
    <n v="0"/>
    <m/>
    <m/>
    <s v="Not Started"/>
    <s v="No"/>
    <s v="No"/>
    <s v="No"/>
    <n v="0"/>
    <n v="0"/>
    <m/>
    <m/>
    <s v="Not Started"/>
    <s v="No"/>
    <s v="No"/>
    <s v="No"/>
    <n v="0"/>
    <n v="0"/>
    <m/>
    <m/>
    <s v="Not Started"/>
    <s v="No"/>
    <s v="No"/>
    <s v="No"/>
    <n v="0"/>
    <n v="0"/>
    <m/>
    <m/>
    <s v="Not Started"/>
    <s v="No"/>
    <s v="No"/>
    <s v="No"/>
    <m/>
    <m/>
    <n v="0"/>
    <m/>
    <m/>
  </r>
  <r>
    <s v="GV.SC-01 Ex1"/>
    <x v="0"/>
    <s v="The organization's cybersecurity risk management strategy, expectations, and policy are established, communicated, and monitored"/>
    <x v="0"/>
    <s v="Cybersecurity Supply Chain Risk Management (GV.SC)"/>
    <s v="Cyber supply chain risk management processes are identified, established, managed, monitored, and improved by organizational stakeholders"/>
    <s v="GV.SC-01"/>
    <s v="A cybersecurity supply chain risk management program, strategy, objectives, policies, and processes are established and agreed to by organizational stakeholders"/>
    <s v="Ex1: Establish a strategy that expresses the objectives of the cybersecurity supply chain risk management program"/>
    <s v="PM-30,SR-02,SR-03"/>
    <x v="1"/>
    <m/>
    <m/>
    <m/>
    <s v="PM-30,SR-02,SR-03"/>
    <m/>
    <n v="0"/>
    <n v="0"/>
    <m/>
    <m/>
    <s v="Not Started"/>
    <s v="No"/>
    <s v="No"/>
    <s v="No"/>
    <n v="0"/>
    <n v="0"/>
    <m/>
    <m/>
    <s v="Not Started"/>
    <s v="No"/>
    <s v="No"/>
    <s v="No"/>
    <n v="0"/>
    <n v="0"/>
    <m/>
    <m/>
    <s v="Not Started"/>
    <s v="No"/>
    <s v="No"/>
    <s v="No"/>
    <n v="0"/>
    <n v="0"/>
    <m/>
    <m/>
    <s v="Not Started"/>
    <s v="No"/>
    <s v="No"/>
    <s v="No"/>
    <m/>
    <m/>
    <n v="0"/>
    <m/>
    <m/>
  </r>
  <r>
    <s v="GV.SC-01 Ex2"/>
    <x v="0"/>
    <s v="The organization's cybersecurity risk management strategy, expectations, and policy are established, communicated, and monitored"/>
    <x v="0"/>
    <s v="Cybersecurity Supply Chain Risk Management (GV.SC)"/>
    <s v="Cyber supply chain risk management processes are identified, established, managed, monitored, and improved by organizational stakeholders"/>
    <s v="GV.SC-01"/>
    <s v="A cybersecurity supply chain risk management program, strategy, objectives, policies, and processes are established and agreed to by organizational stakeholders"/>
    <s v="Ex2: Develop the cybersecurity supply chain risk management program, including a plan (with milestones), policies, and procedures that guide implementation and improvement of the program, and share the policies and procedures with the organizational stakeholders"/>
    <s v="PM-30,SR-02,SR-03"/>
    <x v="1"/>
    <m/>
    <m/>
    <m/>
    <s v="PM-30,SR-02,SR-03"/>
    <m/>
    <n v="0"/>
    <n v="0"/>
    <m/>
    <m/>
    <s v="Not Started"/>
    <s v="No"/>
    <s v="No"/>
    <s v="No"/>
    <n v="0"/>
    <n v="0"/>
    <m/>
    <m/>
    <s v="Not Started"/>
    <s v="No"/>
    <s v="No"/>
    <s v="No"/>
    <n v="0"/>
    <n v="0"/>
    <m/>
    <m/>
    <s v="Not Started"/>
    <s v="No"/>
    <s v="No"/>
    <s v="No"/>
    <n v="0"/>
    <n v="0"/>
    <m/>
    <m/>
    <s v="Not Started"/>
    <s v="No"/>
    <s v="No"/>
    <s v="No"/>
    <m/>
    <m/>
    <n v="0"/>
    <m/>
    <m/>
  </r>
  <r>
    <s v="GV.SC-01 Ex4"/>
    <x v="0"/>
    <s v="The organization's cybersecurity risk management strategy, expectations, and policy are established, communicated, and monitored"/>
    <x v="0"/>
    <s v="Cybersecurity Supply Chain Risk Management (GV.SC)"/>
    <s v="Cyber supply chain risk management processes are identified, established, managed, monitored, and improved by organizational stakeholders"/>
    <s v="GV.SC-01"/>
    <s v="A cybersecurity supply chain risk management program, strategy, objectives, policies, and processes are established and agreed to by organizational stakeholders"/>
    <s v="Ex4: Establish a cross-organizational mechanism that ensures alignment between functions that contribute to cybersecurity supply chain risk management, such as cybersecurity, IT, operations, legal, human resources, and engineering"/>
    <s v="PM-30,SR-02,SR-03"/>
    <x v="1"/>
    <m/>
    <m/>
    <m/>
    <s v="PM-30,SR-02,SR-03"/>
    <m/>
    <n v="0"/>
    <n v="0"/>
    <m/>
    <m/>
    <s v="Not Started"/>
    <s v="No"/>
    <s v="No"/>
    <s v="No"/>
    <n v="0"/>
    <n v="0"/>
    <m/>
    <m/>
    <s v="Not Started"/>
    <s v="No"/>
    <s v="No"/>
    <s v="No"/>
    <n v="0"/>
    <n v="0"/>
    <m/>
    <m/>
    <s v="Not Started"/>
    <s v="No"/>
    <s v="No"/>
    <s v="No"/>
    <n v="0"/>
    <n v="0"/>
    <m/>
    <m/>
    <s v="Not Started"/>
    <s v="No"/>
    <s v="No"/>
    <s v="No"/>
    <m/>
    <m/>
    <n v="0"/>
    <m/>
    <m/>
  </r>
  <r>
    <s v="GV.SC-02 Ex1"/>
    <x v="0"/>
    <s v="The organization's cybersecurity risk management strategy, expectations, and policy are established, communicated, and monitored"/>
    <x v="0"/>
    <s v="Cybersecurity Supply Chain Risk Management (GV.SC)"/>
    <s v="Cyber supply chain risk management processes are identified, established, managed, monitored, and improved by organizational stakeholders"/>
    <s v="GV.SC-02"/>
    <s v="Cybersecurity roles and responsibilities for suppliers, customers, and partners are established, communicated, and coordinated internally and externally"/>
    <s v="Ex1: Identify one or more specific roles or positions that will be responsible and accountable for planning, resourcing, and executing cybersecurity supply chain risk management activities"/>
    <s v="SR-02,SR-03,SR-05"/>
    <x v="1"/>
    <m/>
    <m/>
    <m/>
    <s v="SR-02,SR-03,SR-05"/>
    <m/>
    <n v="0"/>
    <n v="0"/>
    <m/>
    <m/>
    <s v="Not Started"/>
    <s v="No"/>
    <s v="No"/>
    <s v="No"/>
    <n v="0"/>
    <n v="0"/>
    <m/>
    <m/>
    <s v="Not Started"/>
    <s v="No"/>
    <s v="No"/>
    <s v="No"/>
    <n v="0"/>
    <n v="0"/>
    <m/>
    <m/>
    <s v="Not Started"/>
    <s v="No"/>
    <s v="No"/>
    <s v="No"/>
    <n v="0"/>
    <n v="0"/>
    <m/>
    <m/>
    <s v="Not Started"/>
    <s v="No"/>
    <s v="No"/>
    <s v="No"/>
    <m/>
    <m/>
    <n v="0"/>
    <m/>
    <m/>
  </r>
  <r>
    <s v="GV.SC-02 Ex2"/>
    <x v="0"/>
    <s v="The organization's cybersecurity risk management strategy, expectations, and policy are established, communicated, and monitored"/>
    <x v="0"/>
    <s v="Cybersecurity Supply Chain Risk Management (GV.SC)"/>
    <s v="Cyber supply chain risk management processes are identified, established, managed, monitored, and improved by organizational stakeholders"/>
    <s v="GV.SC-02"/>
    <s v="Cybersecurity roles and responsibilities for suppliers, customers, and partners are established, communicated, and coordinated internally and externally"/>
    <s v="Ex2: Document cybersecurity supply chain risk management roles and responsibilities in policy"/>
    <s v="SR-02,SR-03,SR-05"/>
    <x v="1"/>
    <m/>
    <m/>
    <m/>
    <s v="SR-02,SR-03,SR-05"/>
    <m/>
    <n v="0"/>
    <n v="0"/>
    <m/>
    <m/>
    <s v="Not Started"/>
    <s v="No"/>
    <s v="No"/>
    <s v="No"/>
    <n v="0"/>
    <n v="0"/>
    <m/>
    <m/>
    <s v="Not Started"/>
    <s v="No"/>
    <s v="No"/>
    <s v="No"/>
    <n v="0"/>
    <n v="0"/>
    <m/>
    <m/>
    <s v="Not Started"/>
    <s v="No"/>
    <s v="No"/>
    <s v="No"/>
    <n v="0"/>
    <n v="0"/>
    <m/>
    <m/>
    <s v="Not Started"/>
    <s v="No"/>
    <s v="No"/>
    <s v="No"/>
    <m/>
    <m/>
    <n v="0"/>
    <m/>
    <m/>
  </r>
  <r>
    <s v="GV.SC-02 Ex3"/>
    <x v="0"/>
    <s v="The organization's cybersecurity risk management strategy, expectations, and policy are established, communicated, and monitored"/>
    <x v="0"/>
    <s v="Cybersecurity Supply Chain Risk Management (GV.SC)"/>
    <s v="Cyber supply chain risk management processes are identified, established, managed, monitored, and improved by organizational stakeholders"/>
    <s v="GV.SC-02"/>
    <s v="Cybersecurity roles and responsibilities for suppliers, customers, and partners are established, communicated, and coordinated internally and externally"/>
    <s v="Ex3: Create responsibility matrixes to document who will be responsible and accountable for cybersecurity supply chain risk management activities and how those teams and individuals will be consulted and informed"/>
    <s v="SR-02,SR-03,SR-05"/>
    <x v="1"/>
    <m/>
    <m/>
    <m/>
    <s v="SR-02,SR-03,SR-05"/>
    <m/>
    <n v="0"/>
    <n v="0"/>
    <m/>
    <m/>
    <s v="Not Started"/>
    <s v="No"/>
    <s v="No"/>
    <s v="No"/>
    <n v="0"/>
    <n v="0"/>
    <m/>
    <m/>
    <s v="Not Started"/>
    <s v="No"/>
    <s v="No"/>
    <s v="No"/>
    <n v="0"/>
    <n v="0"/>
    <m/>
    <m/>
    <s v="Not Started"/>
    <s v="No"/>
    <s v="No"/>
    <s v="No"/>
    <n v="0"/>
    <n v="0"/>
    <m/>
    <m/>
    <s v="Not Started"/>
    <s v="No"/>
    <s v="No"/>
    <s v="No"/>
    <m/>
    <m/>
    <n v="0"/>
    <m/>
    <m/>
  </r>
  <r>
    <s v="GV.SC-02 Ex4"/>
    <x v="0"/>
    <s v="The organization's cybersecurity risk management strategy, expectations, and policy are established, communicated, and monitored"/>
    <x v="0"/>
    <s v="Cybersecurity Supply Chain Risk Management (GV.SC)"/>
    <s v="Cyber supply chain risk management processes are identified, established, managed, monitored, and improved by organizational stakeholders"/>
    <s v="GV.SC-02"/>
    <s v="Cybersecurity roles and responsibilities for suppliers, customers, and partners are established, communicated, and coordinated internally and externally"/>
    <s v="Ex4: Include cybersecurity supply chain risk management responsibilities and performance requirements in personnel descriptions to ensure clarity and improve accountability"/>
    <s v="SR-02,SR-03,SR-05"/>
    <x v="1"/>
    <m/>
    <m/>
    <m/>
    <s v="SR-02,SR-03,SR-05"/>
    <m/>
    <n v="0"/>
    <n v="0"/>
    <m/>
    <m/>
    <s v="Not Started"/>
    <s v="No"/>
    <s v="No"/>
    <s v="No"/>
    <n v="0"/>
    <n v="0"/>
    <m/>
    <m/>
    <s v="Not Started"/>
    <s v="No"/>
    <s v="No"/>
    <s v="No"/>
    <n v="0"/>
    <n v="0"/>
    <m/>
    <m/>
    <s v="Not Started"/>
    <s v="No"/>
    <s v="No"/>
    <s v="No"/>
    <n v="0"/>
    <n v="0"/>
    <m/>
    <m/>
    <s v="Not Started"/>
    <s v="No"/>
    <s v="No"/>
    <s v="No"/>
    <m/>
    <m/>
    <n v="0"/>
    <m/>
    <m/>
  </r>
  <r>
    <s v="GV.SC-02 Ex5"/>
    <x v="0"/>
    <s v="The organization's cybersecurity risk management strategy, expectations, and policy are established, communicated, and monitored"/>
    <x v="0"/>
    <s v="Cybersecurity Supply Chain Risk Management (GV.SC)"/>
    <s v="Cyber supply chain risk management processes are identified, established, managed, monitored, and improved by organizational stakeholders"/>
    <s v="GV.SC-02"/>
    <s v="Cybersecurity roles and responsibilities for suppliers, customers, and partners are established, communicated, and coordinated internally and externally"/>
    <s v="Ex5: Document performance goals for personnel with cybersecurity risk management-specific responsibilities, and periodically measure them to demonstrate and improve performance"/>
    <s v="SR-02,SR-03,SR-05"/>
    <x v="1"/>
    <m/>
    <m/>
    <m/>
    <s v="SR-02,SR-03,SR-05"/>
    <m/>
    <n v="0"/>
    <n v="0"/>
    <m/>
    <m/>
    <s v="Not Started"/>
    <s v="No"/>
    <s v="No"/>
    <s v="No"/>
    <n v="0"/>
    <n v="0"/>
    <m/>
    <m/>
    <s v="Not Started"/>
    <s v="No"/>
    <s v="No"/>
    <s v="No"/>
    <n v="0"/>
    <n v="0"/>
    <m/>
    <m/>
    <s v="Not Started"/>
    <s v="No"/>
    <s v="No"/>
    <s v="No"/>
    <n v="0"/>
    <n v="0"/>
    <m/>
    <m/>
    <s v="Not Started"/>
    <s v="No"/>
    <s v="No"/>
    <s v="No"/>
    <m/>
    <m/>
    <n v="0"/>
    <m/>
    <m/>
  </r>
  <r>
    <s v="GV.SC-02 Ex6"/>
    <x v="0"/>
    <s v="The organization's cybersecurity risk management strategy, expectations, and policy are established, communicated, and monitored"/>
    <x v="0"/>
    <s v="Cybersecurity Supply Chain Risk Management (GV.SC)"/>
    <s v="Cyber supply chain risk management processes are identified, established, managed, monitored, and improved by organizational stakeholders"/>
    <s v="GV.SC-02"/>
    <s v="Cybersecurity roles and responsibilities for suppliers, customers, and partners are established, communicated, and coordinated internally and externally"/>
    <s v="Ex6: Develop roles and responsibilities for suppliers, customers, and business partners to address shared responsibilities for applicable cybersecurity risks, and integrate them into organizational policies and applicable third-party agreements"/>
    <s v="SR-02,SR-03,SR-05"/>
    <x v="1"/>
    <m/>
    <m/>
    <m/>
    <s v="SR-02,SR-03,SR-05"/>
    <m/>
    <n v="0"/>
    <n v="0"/>
    <m/>
    <m/>
    <s v="Not Started"/>
    <s v="No"/>
    <s v="No"/>
    <s v="No"/>
    <n v="0"/>
    <n v="0"/>
    <m/>
    <m/>
    <s v="Not Started"/>
    <s v="No"/>
    <s v="No"/>
    <s v="No"/>
    <n v="0"/>
    <n v="0"/>
    <m/>
    <m/>
    <s v="Not Started"/>
    <s v="No"/>
    <s v="No"/>
    <s v="No"/>
    <n v="0"/>
    <n v="0"/>
    <m/>
    <m/>
    <s v="Not Started"/>
    <s v="No"/>
    <s v="No"/>
    <s v="No"/>
    <m/>
    <m/>
    <n v="0"/>
    <m/>
    <m/>
  </r>
  <r>
    <s v="GV.SC-02 Ex8"/>
    <x v="0"/>
    <s v="The organization's cybersecurity risk management strategy, expectations, and policy are established, communicated, and monitored"/>
    <x v="0"/>
    <s v="Cybersecurity Supply Chain Risk Management (GV.SC)"/>
    <s v="Cyber supply chain risk management processes are identified, established, managed, monitored, and improved by organizational stakeholders"/>
    <s v="GV.SC-02"/>
    <s v="Cybersecurity roles and responsibilities for suppliers, customers, and partners are established, communicated, and coordinated internally and externally"/>
    <s v="Ex8: Establish rules and protocols for information sharing and reporting processes between the organization and its suppliers"/>
    <s v="SR-02,SR-03,SR-05"/>
    <x v="1"/>
    <m/>
    <m/>
    <m/>
    <s v="SR-02,SR-03,SR-05"/>
    <m/>
    <n v="0"/>
    <n v="0"/>
    <m/>
    <m/>
    <s v="Not Started"/>
    <s v="No"/>
    <s v="No"/>
    <s v="No"/>
    <n v="0"/>
    <n v="0"/>
    <m/>
    <m/>
    <s v="Not Started"/>
    <s v="No"/>
    <s v="No"/>
    <s v="No"/>
    <n v="0"/>
    <n v="0"/>
    <m/>
    <m/>
    <s v="Not Started"/>
    <s v="No"/>
    <s v="No"/>
    <s v="No"/>
    <n v="0"/>
    <n v="0"/>
    <m/>
    <m/>
    <s v="Not Started"/>
    <s v="No"/>
    <s v="No"/>
    <s v="No"/>
    <m/>
    <m/>
    <n v="0"/>
    <m/>
    <m/>
  </r>
  <r>
    <s v="GV.SC-03 Ex1"/>
    <x v="0"/>
    <s v="The organization's cybersecurity risk management strategy, expectations, and policy are established, communicated, and monitored"/>
    <x v="0"/>
    <s v="Cybersecurity Supply Chain Risk Management (GV.SC)"/>
    <s v="Cyber supply chain risk management processes are identified, established, managed, monitored, and improved by organizational stakeholders"/>
    <s v="GV.SC-03"/>
    <s v="Cybersecurity supply chain risk management is integrated into cybersecurity and enterprise risk management, risk assessment, and improvement processes"/>
    <s v="Ex1: Identify areas of alignment and overlap with cybersecurity and enterprise risk management"/>
    <s v="AC-01,AT-01,AU-01,CA-01,CM-01,CP-01,IA-01,IR-01,MA-01,MP-01,PE-01,PL-01,PM-01,PM-09,PM-18,PM-30,PM-31,PS-01,PT-01,RA-01,RA-03,RA-07,SA-01,SC-01,SI-01,SR-01,SR-02,SR-03"/>
    <x v="1"/>
    <m/>
    <m/>
    <m/>
    <s v="AC-01,AT-01,AU-01,CA-01,CM-01,CP-01,IA-01,IR-01,MA-01,MP-01,PE-01,PL-01,PM-01,PM-09,PM-18,PM-30,PM-31,PS-01,PT-01,RA-01,RA-03,RA-07,SA-01,SC-01,SI-01,SR-01,SR-02,SR-03"/>
    <m/>
    <n v="0"/>
    <n v="0"/>
    <m/>
    <m/>
    <s v="Not Started"/>
    <s v="No"/>
    <s v="No"/>
    <s v="No"/>
    <n v="0"/>
    <n v="0"/>
    <m/>
    <m/>
    <s v="Not Started"/>
    <s v="No"/>
    <s v="No"/>
    <s v="No"/>
    <n v="0"/>
    <n v="0"/>
    <m/>
    <m/>
    <s v="Not Started"/>
    <s v="No"/>
    <s v="No"/>
    <s v="No"/>
    <n v="0"/>
    <n v="0"/>
    <m/>
    <m/>
    <s v="Not Started"/>
    <s v="No"/>
    <s v="No"/>
    <s v="No"/>
    <m/>
    <m/>
    <n v="0"/>
    <m/>
    <m/>
  </r>
  <r>
    <s v="GV.SC-03 Ex2"/>
    <x v="0"/>
    <s v="The organization's cybersecurity risk management strategy, expectations, and policy are established, communicated, and monitored"/>
    <x v="0"/>
    <s v="Cybersecurity Supply Chain Risk Management (GV.SC)"/>
    <s v="Cyber supply chain risk management processes are identified, established, managed, monitored, and improved by organizational stakeholders"/>
    <s v="GV.SC-03"/>
    <s v="Cybersecurity supply chain risk management is integrated into cybersecurity and enterprise risk management, risk assessment, and improvement processes"/>
    <s v="Ex2: Establish integrated control sets for cybersecurity risk management and cybersecurity supply chain risk management"/>
    <s v="AC-01,AT-01,AU-01,CA-01,CM-01,CP-01,IA-01,IR-01,MA-01,MP-01,PE-01,PL-01,PM-01,PM-09,PM-18,PM-30,PM-31,PS-01,PT-01,RA-01,RA-03,RA-07,SA-01,SC-01,SI-01,SR-01,SR-02,SR-03"/>
    <x v="1"/>
    <m/>
    <m/>
    <m/>
    <s v="AC-01,AT-01,AU-01,CA-01,CM-01,CP-01,IA-01,IR-01,MA-01,MP-01,PE-01,PL-01,PM-01,PM-09,PM-18,PM-30,PM-31,PS-01,PT-01,RA-01,RA-03,RA-07,SA-01,SC-01,SI-01,SR-01,SR-02,SR-03"/>
    <m/>
    <n v="0"/>
    <n v="0"/>
    <m/>
    <m/>
    <s v="Not Started"/>
    <s v="No"/>
    <s v="No"/>
    <s v="No"/>
    <n v="0"/>
    <n v="0"/>
    <m/>
    <m/>
    <s v="Not Started"/>
    <s v="No"/>
    <s v="No"/>
    <s v="No"/>
    <n v="0"/>
    <n v="0"/>
    <m/>
    <m/>
    <s v="Not Started"/>
    <s v="No"/>
    <s v="No"/>
    <s v="No"/>
    <n v="0"/>
    <n v="0"/>
    <m/>
    <m/>
    <s v="Not Started"/>
    <s v="No"/>
    <s v="No"/>
    <s v="No"/>
    <m/>
    <m/>
    <n v="0"/>
    <m/>
    <m/>
  </r>
  <r>
    <s v="GV.SC-03 Ex3"/>
    <x v="0"/>
    <s v="The organization's cybersecurity risk management strategy, expectations, and policy are established, communicated, and monitored"/>
    <x v="0"/>
    <s v="Cybersecurity Supply Chain Risk Management (GV.SC)"/>
    <s v="Cyber supply chain risk management processes are identified, established, managed, monitored, and improved by organizational stakeholders"/>
    <s v="GV.SC-03"/>
    <s v="Cybersecurity supply chain risk management is integrated into cybersecurity and enterprise risk management, risk assessment, and improvement processes"/>
    <s v="Ex3: Integrate cybersecurity supply chain risk management into improvement processes"/>
    <s v="AC-01,AT-01,AU-01,CA-01,CM-01,CP-01,IA-01,IR-01,MA-01,MP-01,PE-01,PL-01,PM-01,PM-09,PM-18,PM-30,PM-31,PS-01,PT-01,RA-01,RA-03,RA-07,SA-01,SC-01,SI-01,SR-01,SR-02,SR-03"/>
    <x v="1"/>
    <m/>
    <m/>
    <m/>
    <s v="AC-01,AT-01,AU-01,CA-01,CM-01,CP-01,IA-01,IR-01,MA-01,MP-01,PE-01,PL-01,PM-01,PM-09,PM-18,PM-30,PM-31,PS-01,PT-01,RA-01,RA-03,RA-07,SA-01,SC-01,SI-01,SR-01,SR-02,SR-03"/>
    <m/>
    <n v="0"/>
    <n v="0"/>
    <m/>
    <m/>
    <s v="Not Started"/>
    <s v="No"/>
    <s v="No"/>
    <s v="No"/>
    <n v="0"/>
    <n v="0"/>
    <m/>
    <m/>
    <s v="Not Started"/>
    <s v="No"/>
    <s v="No"/>
    <s v="No"/>
    <n v="0"/>
    <n v="0"/>
    <m/>
    <m/>
    <s v="Not Started"/>
    <s v="No"/>
    <s v="No"/>
    <s v="No"/>
    <n v="0"/>
    <n v="0"/>
    <m/>
    <m/>
    <s v="Not Started"/>
    <s v="No"/>
    <s v="No"/>
    <s v="No"/>
    <m/>
    <m/>
    <n v="0"/>
    <m/>
    <m/>
  </r>
  <r>
    <s v="GV.SC-03 Ex4"/>
    <x v="0"/>
    <s v="The organization's cybersecurity risk management strategy, expectations, and policy are established, communicated, and monitored"/>
    <x v="0"/>
    <s v="Cybersecurity Supply Chain Risk Management (GV.SC)"/>
    <s v="Cyber supply chain risk management processes are identified, established, managed, monitored, and improved by organizational stakeholders"/>
    <s v="GV.SC-03"/>
    <s v="Cybersecurity supply chain risk management is integrated into cybersecurity and enterprise risk management, risk assessment, and improvement processes"/>
    <s v="Ex4: Escalate material cybersecurity risks in supply chains to senior management, and address them at the enterprise risk management level"/>
    <s v="AC-01,AT-01,AU-01,CA-01,CM-01,CP-01,IA-01,IR-01,MA-01,MP-01,PE-01,PL-01,PM-01,PM-09,PM-18,PM-30,PM-31,PS-01,PT-01,RA-01,RA-03,RA-07,SA-01,SC-01,SI-01,SR-01,SR-02,SR-03"/>
    <x v="1"/>
    <m/>
    <m/>
    <m/>
    <s v="AC-01,AT-01,AU-01,CA-01,CM-01,CP-01,IA-01,IR-01,MA-01,MP-01,PE-01,PL-01,PM-01,PM-09,PM-18,PM-30,PM-31,PS-01,PT-01,RA-01,RA-03,RA-07,SA-01,SC-01,SI-01,SR-01,SR-02,SR-03"/>
    <m/>
    <n v="0"/>
    <n v="0"/>
    <m/>
    <m/>
    <s v="Not Started"/>
    <s v="No"/>
    <s v="No"/>
    <s v="No"/>
    <n v="0"/>
    <n v="0"/>
    <m/>
    <m/>
    <s v="Not Started"/>
    <s v="No"/>
    <s v="No"/>
    <s v="No"/>
    <n v="0"/>
    <n v="0"/>
    <m/>
    <m/>
    <s v="Not Started"/>
    <s v="No"/>
    <s v="No"/>
    <s v="No"/>
    <n v="0"/>
    <n v="0"/>
    <m/>
    <m/>
    <s v="Not Started"/>
    <s v="No"/>
    <s v="No"/>
    <s v="No"/>
    <m/>
    <m/>
    <n v="0"/>
    <m/>
    <m/>
  </r>
  <r>
    <s v="GV.SC-04 Ex2"/>
    <x v="0"/>
    <s v="The organization's cybersecurity risk management strategy, expectations, and policy are established, communicated, and monitored"/>
    <x v="0"/>
    <s v="Cybersecurity Supply Chain Risk Management (GV.SC)"/>
    <s v="Cyber supply chain risk management processes are identified, established, managed, monitored, and improved by organizational stakeholders"/>
    <s v="GV.SC-04"/>
    <s v="Suppliers are known and prioritized by criticality"/>
    <s v="Ex2: Keep a record of all suppliers, and prioritize suppliers based on the criticality criteria"/>
    <s v="RA-09,SA-09,SR-06"/>
    <x v="1"/>
    <m/>
    <m/>
    <m/>
    <s v="RA-09,SA-09,SR-06"/>
    <m/>
    <n v="0"/>
    <n v="0"/>
    <m/>
    <m/>
    <s v="Not Started"/>
    <s v="No"/>
    <s v="No"/>
    <s v="No"/>
    <n v="0"/>
    <n v="0"/>
    <m/>
    <m/>
    <s v="Not Started"/>
    <s v="No"/>
    <s v="No"/>
    <s v="No"/>
    <n v="0"/>
    <n v="0"/>
    <m/>
    <m/>
    <s v="Not Started"/>
    <s v="No"/>
    <s v="No"/>
    <s v="No"/>
    <n v="0"/>
    <n v="0"/>
    <m/>
    <m/>
    <s v="Not Started"/>
    <s v="No"/>
    <s v="No"/>
    <s v="No"/>
    <m/>
    <m/>
    <n v="0"/>
    <m/>
    <m/>
  </r>
  <r>
    <s v="GV.SC-05 Ex1"/>
    <x v="0"/>
    <s v="The organization's cybersecurity risk management strategy, expectations, and policy are established, communicated, and monitored"/>
    <x v="0"/>
    <s v="Cybersecurity Supply Chain Risk Management (GV.SC)"/>
    <s v="Cyber supply chain risk management processes are identified, established, managed, monitored, and improved by organizational stakeholders"/>
    <s v="GV.SC-05"/>
    <s v="Requirements to address cybersecurity risks in supply chains are established, prioritized, and integrated into contracts and other types of agreements with suppliers and other relevant third parties"/>
    <s v="Ex10: Specify in contracts and other agreements the rights and responsibilities of the organization, its suppliers, and their supply chains, with respect to potential cybersecurity risks"/>
    <s v="SA-04,SA-09,SR-03,SR-05,SR-06,SR-10"/>
    <x v="1"/>
    <m/>
    <m/>
    <m/>
    <s v="SA-04,SA-09,SR-03,SR-05,SR-06,SR-10"/>
    <m/>
    <n v="0"/>
    <n v="0"/>
    <m/>
    <m/>
    <s v="Not Started"/>
    <s v="No"/>
    <s v="No"/>
    <s v="No"/>
    <n v="0"/>
    <n v="0"/>
    <m/>
    <m/>
    <s v="Not Started"/>
    <s v="No"/>
    <s v="No"/>
    <s v="No"/>
    <n v="0"/>
    <n v="0"/>
    <m/>
    <m/>
    <s v="Not Started"/>
    <s v="No"/>
    <s v="No"/>
    <s v="No"/>
    <n v="0"/>
    <n v="0"/>
    <m/>
    <m/>
    <s v="Not Started"/>
    <s v="No"/>
    <s v="No"/>
    <s v="No"/>
    <m/>
    <m/>
    <n v="0"/>
    <m/>
    <m/>
  </r>
  <r>
    <s v="GV.SC-05 Ex2"/>
    <x v="0"/>
    <s v="The organization's cybersecurity risk management strategy, expectations, and policy are established, communicated, and monitored"/>
    <x v="0"/>
    <s v="Cybersecurity Supply Chain Risk Management (GV.SC)"/>
    <s v="Cyber supply chain risk management processes are identified, established, managed, monitored, and improved by organizational stakeholders"/>
    <s v="GV.SC-05"/>
    <s v="Requirements to address cybersecurity risks in supply chains are established, prioritized, and integrated into contracts and other types of agreements with suppliers and other relevant third parties"/>
    <s v="Ex2: Include all cybersecurity and supply chain requirements that third parties must follow and how compliance with the requirements may be verified in default contractual language"/>
    <s v="SA-04,SA-09,SR-03,SR-05,SR-06,SR-10"/>
    <x v="1"/>
    <m/>
    <m/>
    <m/>
    <s v="SA-04,SA-09,SR-03,SR-05,SR-06,SR-10"/>
    <m/>
    <n v="0"/>
    <n v="0"/>
    <m/>
    <m/>
    <s v="Not Started"/>
    <s v="No"/>
    <s v="No"/>
    <s v="No"/>
    <n v="0"/>
    <n v="0"/>
    <m/>
    <m/>
    <s v="Not Started"/>
    <s v="No"/>
    <s v="No"/>
    <s v="No"/>
    <n v="0"/>
    <n v="0"/>
    <m/>
    <m/>
    <s v="Not Started"/>
    <s v="No"/>
    <s v="No"/>
    <s v="No"/>
    <n v="0"/>
    <n v="0"/>
    <m/>
    <m/>
    <s v="Not Started"/>
    <s v="No"/>
    <s v="No"/>
    <s v="No"/>
    <m/>
    <m/>
    <n v="0"/>
    <m/>
    <m/>
  </r>
  <r>
    <s v="GV.SC-05 Ex3"/>
    <x v="0"/>
    <s v="The organization's cybersecurity risk management strategy, expectations, and policy are established, communicated, and monitored"/>
    <x v="0"/>
    <s v="Cybersecurity Supply Chain Risk Management (GV.SC)"/>
    <s v="Cyber supply chain risk management processes are identified, established, managed, monitored, and improved by organizational stakeholders"/>
    <s v="GV.SC-05"/>
    <s v="Requirements to address cybersecurity risks in supply chains are established, prioritized, and integrated into contracts and other types of agreements with suppliers and other relevant third parties"/>
    <s v="Ex3: Define the rules and protocols for information sharing between the organization and its suppliers and sub-tier suppliers in agreements"/>
    <s v="SA-04,SA-09,SR-03,SR-05,SR-06,SR-10"/>
    <x v="1"/>
    <m/>
    <m/>
    <m/>
    <s v="SA-04,SA-09,SR-03,SR-05,SR-06,SR-10"/>
    <m/>
    <n v="0"/>
    <n v="0"/>
    <m/>
    <m/>
    <s v="Not Started"/>
    <s v="No"/>
    <s v="No"/>
    <s v="No"/>
    <n v="0"/>
    <n v="0"/>
    <m/>
    <m/>
    <s v="Not Started"/>
    <s v="No"/>
    <s v="No"/>
    <s v="No"/>
    <n v="0"/>
    <n v="0"/>
    <m/>
    <m/>
    <s v="Not Started"/>
    <s v="No"/>
    <s v="No"/>
    <s v="No"/>
    <n v="0"/>
    <n v="0"/>
    <m/>
    <m/>
    <s v="Not Started"/>
    <s v="No"/>
    <s v="No"/>
    <s v="No"/>
    <m/>
    <m/>
    <n v="0"/>
    <m/>
    <m/>
  </r>
  <r>
    <s v="GV.SC-05 Ex4"/>
    <x v="0"/>
    <s v="The organization's cybersecurity risk management strategy, expectations, and policy are established, communicated, and monitored"/>
    <x v="0"/>
    <s v="Cybersecurity Supply Chain Risk Management (GV.SC)"/>
    <s v="Cyber supply chain risk management processes are identified, established, managed, monitored, and improved by organizational stakeholders"/>
    <s v="GV.SC-05"/>
    <s v="Requirements to address cybersecurity risks in supply chains are established, prioritized, and integrated into contracts and other types of agreements with suppliers and other relevant third parties"/>
    <s v="Ex4: Manage risk by including security requirements in agreements based on their criticality and potential impact if compromised"/>
    <s v="SA-04,SA-09,SR-03,SR-05,SR-06,SR-10"/>
    <x v="1"/>
    <m/>
    <m/>
    <m/>
    <s v="SA-04,SA-09,SR-03,SR-05,SR-06,SR-10"/>
    <m/>
    <n v="0"/>
    <n v="0"/>
    <m/>
    <m/>
    <s v="Not Started"/>
    <s v="No"/>
    <s v="No"/>
    <s v="No"/>
    <n v="0"/>
    <n v="0"/>
    <m/>
    <m/>
    <s v="Not Started"/>
    <s v="No"/>
    <s v="No"/>
    <s v="No"/>
    <n v="0"/>
    <n v="0"/>
    <m/>
    <m/>
    <s v="Not Started"/>
    <s v="No"/>
    <s v="No"/>
    <s v="No"/>
    <n v="0"/>
    <n v="0"/>
    <m/>
    <m/>
    <s v="Not Started"/>
    <s v="No"/>
    <s v="No"/>
    <s v="No"/>
    <m/>
    <m/>
    <n v="0"/>
    <m/>
    <m/>
  </r>
  <r>
    <s v="GV.SC-05 Ex5"/>
    <x v="0"/>
    <s v="The organization's cybersecurity risk management strategy, expectations, and policy are established, communicated, and monitored"/>
    <x v="0"/>
    <s v="Cybersecurity Supply Chain Risk Management (GV.SC)"/>
    <s v="Cyber supply chain risk management processes are identified, established, managed, monitored, and improved by organizational stakeholders"/>
    <s v="GV.SC-05"/>
    <s v="Requirements to address cybersecurity risks in supply chains are established, prioritized, and integrated into contracts and other types of agreements with suppliers and other relevant third parties"/>
    <s v="Ex5: Define security requirements in service-level agreements (SLAs) for monitoring suppliers for acceptable security performance throughout the supplier relationship lifecycle"/>
    <s v="SA-04,SA-09,SR-03,SR-05,SR-06,SR-10"/>
    <x v="1"/>
    <m/>
    <m/>
    <m/>
    <s v="SA-04,SA-09,SR-03,SR-05,SR-06,SR-10"/>
    <m/>
    <n v="0"/>
    <n v="0"/>
    <m/>
    <m/>
    <s v="Not Started"/>
    <s v="No"/>
    <s v="No"/>
    <s v="No"/>
    <n v="0"/>
    <n v="0"/>
    <m/>
    <m/>
    <s v="Not Started"/>
    <s v="No"/>
    <s v="No"/>
    <s v="No"/>
    <n v="0"/>
    <n v="0"/>
    <m/>
    <m/>
    <s v="Not Started"/>
    <s v="No"/>
    <s v="No"/>
    <s v="No"/>
    <n v="0"/>
    <n v="0"/>
    <m/>
    <m/>
    <s v="Not Started"/>
    <s v="No"/>
    <s v="No"/>
    <s v="No"/>
    <m/>
    <m/>
    <n v="0"/>
    <m/>
    <m/>
  </r>
  <r>
    <s v="GV.SC-05 Ex6"/>
    <x v="0"/>
    <s v="The organization's cybersecurity risk management strategy, expectations, and policy are established, communicated, and monitored"/>
    <x v="0"/>
    <s v="Cybersecurity Supply Chain Risk Management (GV.SC)"/>
    <s v="Cyber supply chain risk management processes are identified, established, managed, monitored, and improved by organizational stakeholders"/>
    <s v="GV.SC-05"/>
    <s v="Requirements to address cybersecurity risks in supply chains are established, prioritized, and integrated into contracts and other types of agreements with suppliers and other relevant third parties"/>
    <s v="Ex6: Contractually require suppliers to disclose cybersecurity features, functions, and vulnerabilities of their products and services for the life of the product or the term of service"/>
    <s v="SA-04,SA-09,SR-03,SR-05,SR-06,SR-10"/>
    <x v="1"/>
    <m/>
    <m/>
    <m/>
    <s v="SA-04,SA-09,SR-03,SR-05,SR-06,SR-10"/>
    <m/>
    <n v="0"/>
    <n v="0"/>
    <m/>
    <m/>
    <s v="Not Started"/>
    <s v="No"/>
    <s v="No"/>
    <s v="No"/>
    <n v="0"/>
    <n v="0"/>
    <m/>
    <m/>
    <s v="Not Started"/>
    <s v="No"/>
    <s v="No"/>
    <s v="No"/>
    <n v="0"/>
    <n v="0"/>
    <m/>
    <m/>
    <s v="Not Started"/>
    <s v="No"/>
    <s v="No"/>
    <s v="No"/>
    <n v="0"/>
    <n v="0"/>
    <m/>
    <m/>
    <s v="Not Started"/>
    <s v="No"/>
    <s v="No"/>
    <s v="No"/>
    <m/>
    <m/>
    <n v="0"/>
    <m/>
    <m/>
  </r>
  <r>
    <s v="GV.SC-05 Ex7"/>
    <x v="0"/>
    <s v="The organization's cybersecurity risk management strategy, expectations, and policy are established, communicated, and monitored"/>
    <x v="0"/>
    <s v="Cybersecurity Supply Chain Risk Management (GV.SC)"/>
    <s v="Cyber supply chain risk management processes are identified, established, managed, monitored, and improved by organizational stakeholders"/>
    <s v="GV.SC-05"/>
    <s v="Requirements to address cybersecurity risks in supply chains are established, prioritized, and integrated into contracts and other types of agreements with suppliers and other relevant third parties"/>
    <s v="Ex7: Contractually require suppliers to provide and maintain a current component inventory (e.g., software or hardware bill of materials) for critical products"/>
    <s v="SA-04,SA-09,SR-03,SR-05,SR-06,SR-10"/>
    <x v="1"/>
    <m/>
    <m/>
    <m/>
    <s v="SA-04,SA-09,SR-03,SR-05,SR-06,SR-10"/>
    <m/>
    <n v="0"/>
    <n v="0"/>
    <m/>
    <m/>
    <s v="Not Started"/>
    <s v="No"/>
    <s v="No"/>
    <s v="No"/>
    <n v="0"/>
    <n v="0"/>
    <m/>
    <m/>
    <s v="Not Started"/>
    <s v="No"/>
    <s v="No"/>
    <s v="No"/>
    <n v="0"/>
    <n v="0"/>
    <m/>
    <m/>
    <s v="Not Started"/>
    <s v="No"/>
    <s v="No"/>
    <s v="No"/>
    <n v="0"/>
    <n v="0"/>
    <m/>
    <m/>
    <s v="Not Started"/>
    <s v="No"/>
    <s v="No"/>
    <s v="No"/>
    <m/>
    <m/>
    <n v="0"/>
    <m/>
    <m/>
  </r>
  <r>
    <s v="GV.SC-05 Ex8"/>
    <x v="0"/>
    <s v="The organization's cybersecurity risk management strategy, expectations, and policy are established, communicated, and monitored"/>
    <x v="0"/>
    <s v="Cybersecurity Supply Chain Risk Management (GV.SC)"/>
    <s v="Cyber supply chain risk management processes are identified, established, managed, monitored, and improved by organizational stakeholders"/>
    <s v="GV.SC-05"/>
    <s v="Requirements to address cybersecurity risks in supply chains are established, prioritized, and integrated into contracts and other types of agreements with suppliers and other relevant third parties"/>
    <s v="Ex8: Contractually require suppliers to vet their employees and guard against insider threats"/>
    <s v="SA-04,SA-09,SR-03,SR-05,SR-06,SR-10"/>
    <x v="1"/>
    <m/>
    <m/>
    <m/>
    <s v="SA-04,SA-09,SR-03,SR-05,SR-06,SR-10"/>
    <m/>
    <n v="0"/>
    <n v="0"/>
    <m/>
    <m/>
    <s v="Not Started"/>
    <s v="No"/>
    <s v="No"/>
    <s v="No"/>
    <n v="0"/>
    <n v="0"/>
    <m/>
    <m/>
    <s v="Not Started"/>
    <s v="No"/>
    <s v="No"/>
    <s v="No"/>
    <n v="0"/>
    <n v="0"/>
    <m/>
    <m/>
    <s v="Not Started"/>
    <s v="No"/>
    <s v="No"/>
    <s v="No"/>
    <n v="0"/>
    <n v="0"/>
    <m/>
    <m/>
    <s v="Not Started"/>
    <s v="No"/>
    <s v="No"/>
    <s v="No"/>
    <m/>
    <m/>
    <n v="0"/>
    <m/>
    <m/>
  </r>
  <r>
    <s v="GV.SC-05 Ex9"/>
    <x v="0"/>
    <s v="The organization's cybersecurity risk management strategy, expectations, and policy are established, communicated, and monitored"/>
    <x v="0"/>
    <s v="Cybersecurity Supply Chain Risk Management (GV.SC)"/>
    <s v="Cyber supply chain risk management processes are identified, established, managed, monitored, and improved by organizational stakeholders"/>
    <s v="GV.SC-05"/>
    <s v="Requirements to address cybersecurity risks in supply chains are established, prioritized, and integrated into contracts and other types of agreements with suppliers and other relevant third parties"/>
    <s v="Ex9: Contractually require suppliers to provide evidence of performing acceptable security practices through, for example, self-attestation, conformance to known standards, certifications, or inspections"/>
    <s v="SA-04,SA-09,SR-03,SR-05,SR-06,SR-10"/>
    <x v="1"/>
    <m/>
    <m/>
    <m/>
    <s v="SA-04,SA-09,SR-03,SR-05,SR-06,SR-10"/>
    <m/>
    <n v="0"/>
    <n v="0"/>
    <m/>
    <m/>
    <s v="Not Started"/>
    <s v="No"/>
    <s v="No"/>
    <s v="No"/>
    <n v="0"/>
    <n v="0"/>
    <m/>
    <m/>
    <s v="Not Started"/>
    <s v="No"/>
    <s v="No"/>
    <s v="No"/>
    <n v="0"/>
    <n v="0"/>
    <m/>
    <m/>
    <s v="Not Started"/>
    <s v="No"/>
    <s v="No"/>
    <s v="No"/>
    <n v="0"/>
    <n v="0"/>
    <m/>
    <m/>
    <s v="Not Started"/>
    <s v="No"/>
    <s v="No"/>
    <s v="No"/>
    <m/>
    <m/>
    <n v="0"/>
    <m/>
    <m/>
  </r>
  <r>
    <s v="GV.SC-06 Ex1"/>
    <x v="0"/>
    <s v="The organization's cybersecurity risk management strategy, expectations, and policy are established, communicated, and monitored"/>
    <x v="0"/>
    <s v="Cybersecurity Supply Chain Risk Management (GV.SC)"/>
    <s v="Cyber supply chain risk management processes are identified, established, managed, monitored, and improved by organizational stakeholders"/>
    <s v="GV.SC-06"/>
    <s v="Planning and due diligence are performed to reduce risks before entering into formal supplier or other third-party relationships"/>
    <s v="Ex1: Perform thorough due diligence on prospective suppliers that is consistent with procurement planning and commensurate with the level of risk, criticality, and complexity of each supplier relationship"/>
    <s v="SA-04,SA-09,SR-05,SR-06"/>
    <x v="1"/>
    <m/>
    <m/>
    <m/>
    <s v="SA-04,SA-09,SR-05,SR-06"/>
    <m/>
    <n v="0"/>
    <n v="0"/>
    <m/>
    <m/>
    <s v="Not Started"/>
    <s v="No"/>
    <s v="No"/>
    <s v="No"/>
    <n v="0"/>
    <n v="0"/>
    <m/>
    <m/>
    <s v="Not Started"/>
    <s v="No"/>
    <s v="No"/>
    <s v="No"/>
    <n v="0"/>
    <n v="0"/>
    <m/>
    <m/>
    <s v="Not Started"/>
    <s v="No"/>
    <s v="No"/>
    <s v="No"/>
    <n v="0"/>
    <n v="0"/>
    <m/>
    <m/>
    <s v="Not Started"/>
    <s v="No"/>
    <s v="No"/>
    <s v="No"/>
    <m/>
    <m/>
    <n v="0"/>
    <m/>
    <m/>
  </r>
  <r>
    <s v="GV.SC-06 Ex2"/>
    <x v="0"/>
    <s v="The organization's cybersecurity risk management strategy, expectations, and policy are established, communicated, and monitored"/>
    <x v="0"/>
    <s v="Cybersecurity Supply Chain Risk Management (GV.SC)"/>
    <s v="Cyber supply chain risk management processes are identified, established, managed, monitored, and improved by organizational stakeholders"/>
    <s v="GV.SC-06"/>
    <s v="Planning and due diligence are performed to reduce risks before entering into formal supplier or other third-party relationships"/>
    <s v="Ex2: Assess the suitability of the technology and cybersecurity capabilities and the risk management practices of prospective suppliers"/>
    <s v="SA-04,SA-09,SR-05,SR-06"/>
    <x v="1"/>
    <m/>
    <m/>
    <m/>
    <s v="SA-04,SA-09,SR-05,SR-06"/>
    <m/>
    <n v="0"/>
    <n v="0"/>
    <m/>
    <m/>
    <s v="Not Started"/>
    <s v="No"/>
    <s v="No"/>
    <s v="No"/>
    <n v="0"/>
    <n v="0"/>
    <m/>
    <m/>
    <s v="Not Started"/>
    <s v="No"/>
    <s v="No"/>
    <s v="No"/>
    <n v="0"/>
    <n v="0"/>
    <m/>
    <m/>
    <s v="Not Started"/>
    <s v="No"/>
    <s v="No"/>
    <s v="No"/>
    <n v="0"/>
    <n v="0"/>
    <m/>
    <m/>
    <s v="Not Started"/>
    <s v="No"/>
    <s v="No"/>
    <s v="No"/>
    <m/>
    <m/>
    <n v="0"/>
    <m/>
    <m/>
  </r>
  <r>
    <s v="GV.SC-06 Ex4"/>
    <x v="0"/>
    <s v="The organization's cybersecurity risk management strategy, expectations, and policy are established, communicated, and monitored"/>
    <x v="0"/>
    <s v="Cybersecurity Supply Chain Risk Management (GV.SC)"/>
    <s v="Cyber supply chain risk management processes are identified, established, managed, monitored, and improved by organizational stakeholders"/>
    <s v="GV.SC-06"/>
    <s v="Planning and due diligence are performed to reduce risks before entering into formal supplier or other third-party relationships"/>
    <s v="Ex4: Assess the authenticity, integrity, and security of critical products prior to acquisition and use"/>
    <s v="SA-04,SA-09,SR-05,SR-06"/>
    <x v="1"/>
    <m/>
    <m/>
    <m/>
    <s v="SA-04,SA-09,SR-05,SR-06"/>
    <m/>
    <n v="0"/>
    <n v="0"/>
    <m/>
    <m/>
    <s v="Not Started"/>
    <s v="No"/>
    <s v="No"/>
    <s v="No"/>
    <n v="0"/>
    <n v="0"/>
    <m/>
    <m/>
    <s v="Not Started"/>
    <s v="No"/>
    <s v="No"/>
    <s v="No"/>
    <n v="0"/>
    <n v="0"/>
    <m/>
    <m/>
    <s v="Not Started"/>
    <s v="No"/>
    <s v="No"/>
    <s v="No"/>
    <n v="0"/>
    <n v="0"/>
    <m/>
    <m/>
    <s v="Not Started"/>
    <s v="No"/>
    <s v="No"/>
    <s v="No"/>
    <m/>
    <m/>
    <n v="0"/>
    <m/>
    <m/>
  </r>
  <r>
    <s v="GV.SC-07 Ex1"/>
    <x v="0"/>
    <s v="The organization's cybersecurity risk management strategy, expectations, and policy are established, communicated, and monitored"/>
    <x v="0"/>
    <s v="Cybersecurity Supply Chain Risk Management (GV.SC)"/>
    <s v="Cyber supply chain risk management processes are identified, established, managed, monitored, and improved by organizational stakeholders"/>
    <s v="GV.SC-07"/>
    <s v="The risks posed by a supplier, their products and services, and other third parties are understood, recorded, prioritized, assessed, responded to, and monitored over the course of the relationship"/>
    <s v="Ex1: Adjust assessment formats and frequencies based on the third party's reputation and the criticality of the products or services they provide"/>
    <s v="RA-09,SA-04,SA-09,SR-03,SR-06"/>
    <x v="1"/>
    <m/>
    <m/>
    <m/>
    <s v="RA-09,SA-04,SA-09,SR-03,SR-06"/>
    <m/>
    <n v="0"/>
    <n v="0"/>
    <m/>
    <m/>
    <s v="Not Started"/>
    <s v="No"/>
    <s v="No"/>
    <s v="No"/>
    <n v="0"/>
    <n v="0"/>
    <m/>
    <m/>
    <s v="Not Started"/>
    <s v="No"/>
    <s v="No"/>
    <s v="No"/>
    <n v="0"/>
    <n v="0"/>
    <m/>
    <m/>
    <s v="Not Started"/>
    <s v="No"/>
    <s v="No"/>
    <s v="No"/>
    <n v="0"/>
    <n v="0"/>
    <m/>
    <m/>
    <s v="Not Started"/>
    <s v="No"/>
    <s v="No"/>
    <s v="No"/>
    <m/>
    <m/>
    <n v="0"/>
    <m/>
    <m/>
  </r>
  <r>
    <s v="GV.SC-07 Ex2"/>
    <x v="0"/>
    <s v="The organization's cybersecurity risk management strategy, expectations, and policy are established, communicated, and monitored"/>
    <x v="0"/>
    <s v="Cybersecurity Supply Chain Risk Management (GV.SC)"/>
    <s v="Cyber supply chain risk management processes are identified, established, managed, monitored, and improved by organizational stakeholders"/>
    <s v="GV.SC-07"/>
    <s v="The risks posed by a supplier, their products and services, and other third parties are understood, recorded, prioritized, assessed, responded to, and monitored over the course of the relationship"/>
    <s v="Ex2: Evaluate third parties' evidence of compliance with contractual cybersecurity requirements, such as self-attestations, warranties, certifications, and other artifacts"/>
    <s v="RA-09,SA-04,SA-09,SR-03,SR-06"/>
    <x v="1"/>
    <m/>
    <m/>
    <m/>
    <s v="RA-09,SA-04,SA-09,SR-03,SR-06"/>
    <m/>
    <n v="0"/>
    <n v="0"/>
    <m/>
    <m/>
    <s v="Not Started"/>
    <s v="No"/>
    <s v="No"/>
    <s v="No"/>
    <n v="0"/>
    <n v="0"/>
    <m/>
    <m/>
    <s v="Not Started"/>
    <s v="No"/>
    <s v="No"/>
    <s v="No"/>
    <n v="0"/>
    <n v="0"/>
    <m/>
    <m/>
    <s v="Not Started"/>
    <s v="No"/>
    <s v="No"/>
    <s v="No"/>
    <n v="0"/>
    <n v="0"/>
    <m/>
    <m/>
    <s v="Not Started"/>
    <s v="No"/>
    <s v="No"/>
    <s v="No"/>
    <m/>
    <m/>
    <n v="0"/>
    <m/>
    <m/>
  </r>
  <r>
    <s v="GV.SC-07 Ex3"/>
    <x v="0"/>
    <s v="The organization's cybersecurity risk management strategy, expectations, and policy are established, communicated, and monitored"/>
    <x v="0"/>
    <s v="Cybersecurity Supply Chain Risk Management (GV.SC)"/>
    <s v="Cyber supply chain risk management processes are identified, established, managed, monitored, and improved by organizational stakeholders"/>
    <s v="GV.SC-07"/>
    <s v="The risks posed by a supplier, their products and services, and other third parties are understood, recorded, prioritized, assessed, responded to, and monitored over the course of the relationship"/>
    <s v="Ex3: Monitor critical suppliers to ensure that they are fulfilling their security obligations throughout the supplier relationship lifecycle using a variety of methods and techniques, such as inspections, audits, tests, or other forms of evaluation"/>
    <s v="RA-09,SA-04,SA-09,SR-03,SR-06"/>
    <x v="1"/>
    <m/>
    <m/>
    <m/>
    <s v="RA-09,SA-04,SA-09,SR-03,SR-06"/>
    <m/>
    <n v="0"/>
    <n v="0"/>
    <m/>
    <m/>
    <s v="Not Started"/>
    <s v="No"/>
    <s v="No"/>
    <s v="No"/>
    <n v="0"/>
    <n v="0"/>
    <m/>
    <m/>
    <s v="Not Started"/>
    <s v="No"/>
    <s v="No"/>
    <s v="No"/>
    <n v="0"/>
    <n v="0"/>
    <m/>
    <m/>
    <s v="Not Started"/>
    <s v="No"/>
    <s v="No"/>
    <s v="No"/>
    <n v="0"/>
    <n v="0"/>
    <m/>
    <m/>
    <s v="Not Started"/>
    <s v="No"/>
    <s v="No"/>
    <s v="No"/>
    <m/>
    <m/>
    <n v="0"/>
    <m/>
    <m/>
  </r>
  <r>
    <s v="GV.SC-07 Ex4"/>
    <x v="0"/>
    <s v="The organization's cybersecurity risk management strategy, expectations, and policy are established, communicated, and monitored"/>
    <x v="0"/>
    <s v="Cybersecurity Supply Chain Risk Management (GV.SC)"/>
    <s v="Cyber supply chain risk management processes are identified, established, managed, monitored, and improved by organizational stakeholders"/>
    <s v="GV.SC-07"/>
    <s v="The risks posed by a supplier, their products and services, and other third parties are understood, recorded, prioritized, assessed, responded to, and monitored over the course of the relationship"/>
    <s v="Ex4: Monitor critical suppliers, services, and products for changes to their risk profiles, and reevaluate supplier criticality and risk impact accordingly"/>
    <s v="RA-09,SA-04,SA-09,SR-03,SR-06"/>
    <x v="1"/>
    <m/>
    <m/>
    <m/>
    <s v="RA-09,SA-04,SA-09,SR-03,SR-06"/>
    <m/>
    <n v="0"/>
    <n v="0"/>
    <m/>
    <m/>
    <s v="Not Started"/>
    <s v="No"/>
    <s v="No"/>
    <s v="No"/>
    <n v="0"/>
    <n v="0"/>
    <m/>
    <m/>
    <s v="Not Started"/>
    <s v="No"/>
    <s v="No"/>
    <s v="No"/>
    <n v="0"/>
    <n v="0"/>
    <m/>
    <m/>
    <s v="Not Started"/>
    <s v="No"/>
    <s v="No"/>
    <s v="No"/>
    <n v="0"/>
    <n v="0"/>
    <m/>
    <m/>
    <s v="Not Started"/>
    <s v="No"/>
    <s v="No"/>
    <s v="No"/>
    <m/>
    <m/>
    <n v="0"/>
    <m/>
    <m/>
  </r>
  <r>
    <s v="GV.SC-07 Ex5"/>
    <x v="0"/>
    <s v="The organization's cybersecurity risk management strategy, expectations, and policy are established, communicated, and monitored"/>
    <x v="0"/>
    <s v="Cybersecurity Supply Chain Risk Management (GV.SC)"/>
    <s v="Cyber supply chain risk management processes are identified, established, managed, monitored, and improved by organizational stakeholders"/>
    <s v="GV.SC-07"/>
    <s v="The risks posed by a supplier, their products and services, and other third parties are understood, recorded, prioritized, assessed, responded to, and monitored over the course of the relationship"/>
    <s v="Ex5: Plan for unexpected supplier and supply chain-related interruptions to ensure business continuity"/>
    <s v="RA-09,SA-04,SA-09,SR-03,SR-06"/>
    <x v="1"/>
    <m/>
    <m/>
    <m/>
    <s v="RA-09,SA-04,SA-09,SR-03,SR-06"/>
    <m/>
    <n v="0"/>
    <n v="0"/>
    <m/>
    <m/>
    <s v="Not Started"/>
    <s v="No"/>
    <s v="No"/>
    <s v="No"/>
    <n v="0"/>
    <n v="0"/>
    <m/>
    <m/>
    <s v="Not Started"/>
    <s v="No"/>
    <s v="No"/>
    <s v="No"/>
    <n v="0"/>
    <n v="0"/>
    <m/>
    <m/>
    <s v="Not Started"/>
    <s v="No"/>
    <s v="No"/>
    <s v="No"/>
    <n v="0"/>
    <n v="0"/>
    <m/>
    <m/>
    <s v="Not Started"/>
    <s v="No"/>
    <s v="No"/>
    <s v="No"/>
    <m/>
    <m/>
    <n v="0"/>
    <m/>
    <m/>
  </r>
  <r>
    <s v="GV.SC-08 Ex1"/>
    <x v="0"/>
    <s v="The organization's cybersecurity risk management strategy, expectations, and policy are established, communicated, and monitored"/>
    <x v="0"/>
    <s v="Cybersecurity Supply Chain Risk Management (GV.SC)"/>
    <s v="Cyber supply chain risk management processes are identified, established, managed, monitored, and improved by organizational stakeholders"/>
    <s v="GV.SC-08"/>
    <s v="Relevant suppliers and other third parties are included in incident planning, response, and recovery activities"/>
    <s v="Ex1: Define and use rules and protocols for reporting incident response and recovery activities and the status between the organization and its suppliers"/>
    <s v="CP-01,IR-01,SA-04,SA-09,SR-02,SR-03,SR-08"/>
    <x v="1"/>
    <m/>
    <m/>
    <m/>
    <s v="CP-01,IR-01,SA-04,SA-09,SR-02,SR-03,SR-08"/>
    <m/>
    <n v="0"/>
    <n v="0"/>
    <m/>
    <m/>
    <s v="Not Started"/>
    <s v="No"/>
    <s v="No"/>
    <s v="No"/>
    <n v="0"/>
    <n v="0"/>
    <m/>
    <m/>
    <s v="Not Started"/>
    <s v="No"/>
    <s v="No"/>
    <s v="No"/>
    <n v="0"/>
    <n v="0"/>
    <m/>
    <m/>
    <s v="Not Started"/>
    <s v="No"/>
    <s v="No"/>
    <s v="No"/>
    <n v="0"/>
    <n v="0"/>
    <m/>
    <m/>
    <s v="Not Started"/>
    <s v="No"/>
    <s v="No"/>
    <s v="No"/>
    <m/>
    <m/>
    <n v="0"/>
    <m/>
    <m/>
  </r>
  <r>
    <s v="GV.SC-08 Ex2"/>
    <x v="0"/>
    <s v="The organization's cybersecurity risk management strategy, expectations, and policy are established, communicated, and monitored"/>
    <x v="0"/>
    <s v="Cybersecurity Supply Chain Risk Management (GV.SC)"/>
    <s v="Cyber supply chain risk management processes are identified, established, managed, monitored, and improved by organizational stakeholders"/>
    <s v="GV.SC-08"/>
    <s v="Relevant suppliers and other third parties are included in incident planning, response, and recovery activities"/>
    <s v="Ex2: Identify and document the roles and responsibilities of the organization and its suppliers for incident response"/>
    <s v="CP-01,IR-01,SA-04,SA-09,SR-02,SR-03,SR-08"/>
    <x v="1"/>
    <m/>
    <m/>
    <m/>
    <s v="CP-01,IR-01,SA-04,SA-09,SR-02,SR-03,SR-08"/>
    <m/>
    <n v="0"/>
    <n v="0"/>
    <m/>
    <m/>
    <s v="Not Started"/>
    <s v="No"/>
    <s v="No"/>
    <s v="No"/>
    <n v="0"/>
    <n v="0"/>
    <m/>
    <m/>
    <s v="Not Started"/>
    <s v="No"/>
    <s v="No"/>
    <s v="No"/>
    <n v="0"/>
    <n v="0"/>
    <m/>
    <m/>
    <s v="Not Started"/>
    <s v="No"/>
    <s v="No"/>
    <s v="No"/>
    <n v="0"/>
    <n v="0"/>
    <m/>
    <m/>
    <s v="Not Started"/>
    <s v="No"/>
    <s v="No"/>
    <s v="No"/>
    <m/>
    <m/>
    <n v="0"/>
    <m/>
    <m/>
  </r>
  <r>
    <s v="GV.SC-08 Ex3"/>
    <x v="0"/>
    <s v="The organization's cybersecurity risk management strategy, expectations, and policy are established, communicated, and monitored"/>
    <x v="0"/>
    <s v="Cybersecurity Supply Chain Risk Management (GV.SC)"/>
    <s v="Cyber supply chain risk management processes are identified, established, managed, monitored, and improved by organizational stakeholders"/>
    <s v="GV.SC-08"/>
    <s v="Relevant suppliers and other third parties are included in incident planning, response, and recovery activities"/>
    <s v="Ex3: Include critical suppliers in incident response exercises and simulations"/>
    <s v="CP-01,IR-01,SA-04,SA-09,SR-02,SR-03,SR-08"/>
    <x v="1"/>
    <m/>
    <m/>
    <m/>
    <s v="CP-01,IR-01,SA-04,SA-09,SR-02,SR-03,SR-08"/>
    <m/>
    <n v="0"/>
    <n v="0"/>
    <m/>
    <m/>
    <s v="Not Started"/>
    <s v="No"/>
    <s v="No"/>
    <s v="No"/>
    <n v="0"/>
    <n v="0"/>
    <m/>
    <m/>
    <s v="Not Started"/>
    <s v="No"/>
    <s v="No"/>
    <s v="No"/>
    <n v="0"/>
    <n v="0"/>
    <m/>
    <m/>
    <s v="Not Started"/>
    <s v="No"/>
    <s v="No"/>
    <s v="No"/>
    <n v="0"/>
    <n v="0"/>
    <m/>
    <m/>
    <s v="Not Started"/>
    <s v="No"/>
    <s v="No"/>
    <s v="No"/>
    <m/>
    <m/>
    <n v="0"/>
    <m/>
    <m/>
  </r>
  <r>
    <s v="GV.SC-08 Ex4"/>
    <x v="0"/>
    <s v="The organization's cybersecurity risk management strategy, expectations, and policy are established, communicated, and monitored"/>
    <x v="0"/>
    <s v="Cybersecurity Supply Chain Risk Management (GV.SC)"/>
    <s v="Cyber supply chain risk management processes are identified, established, managed, monitored, and improved by organizational stakeholders"/>
    <s v="GV.SC-08"/>
    <s v="Relevant suppliers and other third parties are included in incident planning, response, and recovery activities"/>
    <s v="Ex4: Define and coordinate crisis communication methods and protocols between the organization and its critical suppliers"/>
    <s v="CP-01,IR-01,SA-04,SA-09,SR-02,SR-03,SR-08"/>
    <x v="1"/>
    <m/>
    <m/>
    <m/>
    <s v="CP-01,IR-01,SA-04,SA-09,SR-02,SR-03,SR-08"/>
    <m/>
    <n v="0"/>
    <n v="0"/>
    <m/>
    <m/>
    <s v="Not Started"/>
    <s v="No"/>
    <s v="No"/>
    <s v="No"/>
    <n v="0"/>
    <n v="0"/>
    <m/>
    <m/>
    <s v="Not Started"/>
    <s v="No"/>
    <s v="No"/>
    <s v="No"/>
    <n v="0"/>
    <n v="0"/>
    <m/>
    <m/>
    <s v="Not Started"/>
    <s v="No"/>
    <s v="No"/>
    <s v="No"/>
    <n v="0"/>
    <n v="0"/>
    <m/>
    <m/>
    <s v="Not Started"/>
    <s v="No"/>
    <s v="No"/>
    <s v="No"/>
    <m/>
    <m/>
    <n v="0"/>
    <m/>
    <m/>
  </r>
  <r>
    <s v="GV.SC-08 Ex5"/>
    <x v="0"/>
    <s v="The organization's cybersecurity risk management strategy, expectations, and policy are established, communicated, and monitored"/>
    <x v="0"/>
    <s v="Cybersecurity Supply Chain Risk Management (GV.SC)"/>
    <s v="Cyber supply chain risk management processes are identified, established, managed, monitored, and improved by organizational stakeholders"/>
    <s v="GV.SC-08"/>
    <s v="Relevant suppliers and other third parties are included in incident planning, response, and recovery activities"/>
    <s v="Ex5: Conduct collaborative lessons learned sessions with critical suppliers"/>
    <s v="CP-01,IR-01,SA-04,SA-09,SR-02,SR-03,SR-08"/>
    <x v="1"/>
    <m/>
    <m/>
    <m/>
    <s v="CP-01,IR-01,SA-04,SA-09,SR-02,SR-03,SR-08"/>
    <m/>
    <n v="0"/>
    <n v="0"/>
    <m/>
    <m/>
    <s v="Not Started"/>
    <s v="No"/>
    <s v="No"/>
    <s v="No"/>
    <n v="0"/>
    <n v="0"/>
    <m/>
    <m/>
    <s v="Not Started"/>
    <s v="No"/>
    <s v="No"/>
    <s v="No"/>
    <n v="0"/>
    <n v="0"/>
    <m/>
    <m/>
    <s v="Not Started"/>
    <s v="No"/>
    <s v="No"/>
    <s v="No"/>
    <n v="0"/>
    <n v="0"/>
    <m/>
    <m/>
    <s v="Not Started"/>
    <s v="No"/>
    <s v="No"/>
    <s v="No"/>
    <m/>
    <m/>
    <n v="0"/>
    <m/>
    <m/>
  </r>
  <r>
    <s v="GV.SC-09 Ex1"/>
    <x v="0"/>
    <s v="The organization's cybersecurity risk management strategy, expectations, and policy are established, communicated, and monitored"/>
    <x v="0"/>
    <s v="Cybersecurity Supply Chain Risk Management (GV.SC)"/>
    <s v="Cyber supply chain risk management processes are identified, established, managed, monitored, and improved by organizational stakeholders"/>
    <s v="GV.SC-09"/>
    <s v="Supply chain security practices are integrated into cybersecurity and enterprise risk management programs, and their performance is monitored throughout the technology product and service life cycle"/>
    <s v="Ex1: Policies and procedures require provenance records for all acquired technology products and services"/>
    <s v="PM-09,PM-19,PM-28,PM-30,PM-31,RA-03,RA-07,SA-04,SA-09,SR-02,SR-03,SR-05,SR-06"/>
    <x v="1"/>
    <m/>
    <m/>
    <m/>
    <s v="PM-09,PM-19,PM-28,PM-30,PM-31,RA-03,RA-07,SA-04,SA-09,SR-02,SR-03,SR-05,SR-06"/>
    <m/>
    <n v="0"/>
    <n v="0"/>
    <m/>
    <m/>
    <s v="Not Started"/>
    <s v="No"/>
    <s v="No"/>
    <s v="No"/>
    <n v="0"/>
    <n v="0"/>
    <m/>
    <m/>
    <s v="Not Started"/>
    <s v="No"/>
    <s v="No"/>
    <s v="No"/>
    <n v="0"/>
    <n v="0"/>
    <m/>
    <m/>
    <s v="Not Started"/>
    <s v="No"/>
    <s v="No"/>
    <s v="No"/>
    <n v="0"/>
    <n v="0"/>
    <m/>
    <m/>
    <s v="Not Started"/>
    <s v="No"/>
    <s v="No"/>
    <s v="No"/>
    <m/>
    <m/>
    <n v="0"/>
    <m/>
    <m/>
  </r>
  <r>
    <s v="GV.SC-09 Ex2"/>
    <x v="0"/>
    <s v="The organization's cybersecurity risk management strategy, expectations, and policy are established, communicated, and monitored"/>
    <x v="0"/>
    <s v="Cybersecurity Supply Chain Risk Management (GV.SC)"/>
    <s v="Cyber supply chain risk management processes are identified, established, managed, monitored, and improved by organizational stakeholders"/>
    <s v="GV.SC-09"/>
    <s v="Supply chain security practices are integrated into cybersecurity and enterprise risk management programs, and their performance is monitored throughout the technology product and service life cycle"/>
    <s v="Ex2: Periodically provide risk reporting to leaders about how acquired components are proven to be untampered and authentic"/>
    <s v="PM-09,PM-19,PM-28,PM-30,PM-31,RA-03,RA-07,SA-04,SA-09,SR-02,SR-03,SR-05,SR-06"/>
    <x v="1"/>
    <m/>
    <m/>
    <m/>
    <s v="PM-09,PM-19,PM-28,PM-30,PM-31,RA-03,RA-07,SA-04,SA-09,SR-02,SR-03,SR-05,SR-06"/>
    <m/>
    <n v="0"/>
    <n v="0"/>
    <m/>
    <m/>
    <s v="Not Started"/>
    <s v="No"/>
    <s v="No"/>
    <s v="No"/>
    <n v="0"/>
    <n v="0"/>
    <m/>
    <m/>
    <s v="Not Started"/>
    <s v="No"/>
    <s v="No"/>
    <s v="No"/>
    <n v="0"/>
    <n v="0"/>
    <m/>
    <m/>
    <s v="Not Started"/>
    <s v="No"/>
    <s v="No"/>
    <s v="No"/>
    <n v="0"/>
    <n v="0"/>
    <m/>
    <m/>
    <s v="Not Started"/>
    <s v="No"/>
    <s v="No"/>
    <s v="No"/>
    <m/>
    <m/>
    <n v="0"/>
    <m/>
    <m/>
  </r>
  <r>
    <s v="GV.SC-09 Ex3"/>
    <x v="0"/>
    <s v="The organization's cybersecurity risk management strategy, expectations, and policy are established, communicated, and monitored"/>
    <x v="0"/>
    <s v="Cybersecurity Supply Chain Risk Management (GV.SC)"/>
    <s v="Cyber supply chain risk management processes are identified, established, managed, monitored, and improved by organizational stakeholders"/>
    <s v="GV.SC-09"/>
    <s v="Supply chain security practices are integrated into cybersecurity and enterprise risk management programs, and their performance is monitored throughout the technology product and service life cycle"/>
    <s v="Ex3: Communicate regularly among cybersecurity risk managers and operations personnel about the need to acquire software patches, updates, and upgrades only from authenticated and trustworthy software providers"/>
    <s v="PM-09,PM-19,PM-28,PM-30,PM-31,RA-03,RA-07,SA-04,SA-09,SR-02,SR-03,SR-05,SR-06"/>
    <x v="1"/>
    <m/>
    <m/>
    <m/>
    <s v="PM-09,PM-19,PM-28,PM-30,PM-31,RA-03,RA-07,SA-04,SA-09,SR-02,SR-03,SR-05,SR-06"/>
    <m/>
    <n v="0"/>
    <n v="0"/>
    <m/>
    <m/>
    <s v="Not Started"/>
    <s v="No"/>
    <s v="No"/>
    <s v="No"/>
    <n v="0"/>
    <n v="0"/>
    <m/>
    <m/>
    <s v="Not Started"/>
    <s v="No"/>
    <s v="No"/>
    <s v="No"/>
    <n v="0"/>
    <n v="0"/>
    <m/>
    <m/>
    <s v="Not Started"/>
    <s v="No"/>
    <s v="No"/>
    <s v="No"/>
    <n v="0"/>
    <n v="0"/>
    <m/>
    <m/>
    <s v="Not Started"/>
    <s v="No"/>
    <s v="No"/>
    <s v="No"/>
    <m/>
    <m/>
    <n v="0"/>
    <m/>
    <m/>
  </r>
  <r>
    <s v="GV.SC-09 Ex4"/>
    <x v="0"/>
    <s v="The organization's cybersecurity risk management strategy, expectations, and policy are established, communicated, and monitored"/>
    <x v="0"/>
    <s v="Cybersecurity Supply Chain Risk Management (GV.SC)"/>
    <s v="Cyber supply chain risk management processes are identified, established, managed, monitored, and improved by organizational stakeholders"/>
    <s v="GV.SC-09"/>
    <s v="Supply chain security practices are integrated into cybersecurity and enterprise risk management programs, and their performance is monitored throughout the technology product and service life cycle"/>
    <s v="Ex4: Review policies to ensure that they require approved supplier personnel to perform maintenance on supplier products"/>
    <s v="PM-09,PM-19,PM-28,PM-30,PM-31,RA-03,RA-07,SA-04,SA-09,SR-02,SR-03,SR-05,SR-06"/>
    <x v="1"/>
    <m/>
    <m/>
    <m/>
    <s v="PM-09,PM-19,PM-28,PM-30,PM-31,RA-03,RA-07,SA-04,SA-09,SR-02,SR-03,SR-05,SR-06"/>
    <m/>
    <n v="0"/>
    <n v="0"/>
    <m/>
    <m/>
    <s v="Not Started"/>
    <s v="No"/>
    <s v="No"/>
    <s v="No"/>
    <n v="0"/>
    <n v="0"/>
    <m/>
    <m/>
    <s v="Not Started"/>
    <s v="No"/>
    <s v="No"/>
    <s v="No"/>
    <n v="0"/>
    <n v="0"/>
    <m/>
    <m/>
    <s v="Not Started"/>
    <s v="No"/>
    <s v="No"/>
    <s v="No"/>
    <n v="0"/>
    <n v="0"/>
    <m/>
    <m/>
    <s v="Not Started"/>
    <s v="No"/>
    <s v="No"/>
    <s v="No"/>
    <m/>
    <m/>
    <n v="0"/>
    <m/>
    <m/>
  </r>
  <r>
    <s v="GV.SC-10 Ex1"/>
    <x v="0"/>
    <s v="The organization's cybersecurity risk management strategy, expectations, and policy are established, communicated, and monitored"/>
    <x v="0"/>
    <s v="Cybersecurity Supply Chain Risk Management (GV.SC)"/>
    <s v="Cyber supply chain risk management processes are identified, established, managed, monitored, and improved by organizational stakeholders"/>
    <s v="GV.SC-10"/>
    <s v="Cybersecurity supply chain risk management plans include provisions for activities that occur after the conclusion of a partnership or service agreement"/>
    <s v="Ex1: Establish processes for terminating critical relationships under both normal and adverse circumstances"/>
    <s v="PM-31,RA-03,RA-05,RA-07,SA-04,SA-09,SR-02,SR-03,SR-05,SR-06"/>
    <x v="1"/>
    <m/>
    <m/>
    <m/>
    <s v="PM-31,RA-03,RA-05,RA-07,SA-04,SA-09,SR-02,SR-03,SR-05,SR-06"/>
    <m/>
    <n v="0"/>
    <n v="0"/>
    <m/>
    <m/>
    <s v="Not Started"/>
    <s v="No"/>
    <s v="No"/>
    <s v="No"/>
    <n v="0"/>
    <n v="0"/>
    <m/>
    <m/>
    <s v="Not Started"/>
    <s v="No"/>
    <s v="No"/>
    <s v="No"/>
    <n v="0"/>
    <n v="0"/>
    <m/>
    <m/>
    <s v="Not Started"/>
    <s v="No"/>
    <s v="No"/>
    <s v="No"/>
    <n v="0"/>
    <n v="0"/>
    <m/>
    <m/>
    <s v="Not Started"/>
    <s v="No"/>
    <s v="No"/>
    <s v="No"/>
    <m/>
    <m/>
    <n v="0"/>
    <m/>
    <m/>
  </r>
  <r>
    <s v="GV.SC-10 Ex2"/>
    <x v="0"/>
    <s v="The organization's cybersecurity risk management strategy, expectations, and policy are established, communicated, and monitored"/>
    <x v="0"/>
    <s v="Cybersecurity Supply Chain Risk Management (GV.SC)"/>
    <s v="Cyber supply chain risk management processes are identified, established, managed, monitored, and improved by organizational stakeholders"/>
    <s v="GV.SC-10"/>
    <s v="Cybersecurity supply chain risk management plans include provisions for activities that occur after the conclusion of a partnership or service agreement"/>
    <s v="Ex2: Define and implement plans for component end-of-life maintenance support and obsolescence"/>
    <s v="PM-31,RA-03,RA-05,RA-07,SA-04,SA-09,SR-02,SR-03,SR-05,SR-06"/>
    <x v="1"/>
    <m/>
    <m/>
    <m/>
    <s v="PM-31,RA-03,RA-05,RA-07,SA-04,SA-09,SR-02,SR-03,SR-05,SR-06"/>
    <m/>
    <n v="0"/>
    <n v="0"/>
    <m/>
    <m/>
    <s v="Not Started"/>
    <s v="No"/>
    <s v="No"/>
    <s v="No"/>
    <n v="0"/>
    <n v="0"/>
    <m/>
    <m/>
    <s v="Not Started"/>
    <s v="No"/>
    <s v="No"/>
    <s v="No"/>
    <n v="0"/>
    <n v="0"/>
    <m/>
    <m/>
    <s v="Not Started"/>
    <s v="No"/>
    <s v="No"/>
    <s v="No"/>
    <n v="0"/>
    <n v="0"/>
    <m/>
    <m/>
    <s v="Not Started"/>
    <s v="No"/>
    <s v="No"/>
    <s v="No"/>
    <m/>
    <m/>
    <n v="0"/>
    <m/>
    <m/>
  </r>
  <r>
    <s v="GV.SC-10 Ex4"/>
    <x v="0"/>
    <s v="The organization's cybersecurity risk management strategy, expectations, and policy are established, communicated, and monitored"/>
    <x v="0"/>
    <s v="Cybersecurity Supply Chain Risk Management (GV.SC)"/>
    <s v="Cyber supply chain risk management processes are identified, established, managed, monitored, and improved by organizational stakeholders"/>
    <s v="GV.SC-10"/>
    <s v="Cybersecurity supply chain risk management plans include provisions for activities that occur after the conclusion of a partnership or service agreement"/>
    <s v="Ex4: Verify that assets containing the organization's data are returned or properly disposed of in a timely, controlled, and safe manner"/>
    <s v="PM-31,RA-03,RA-05,RA-07,SA-04,SA-09,SR-02,SR-03,SR-05,SR-06"/>
    <x v="1"/>
    <m/>
    <m/>
    <m/>
    <s v="PM-31,RA-03,RA-05,RA-07,SA-04,SA-09,SR-02,SR-03,SR-05,SR-06"/>
    <m/>
    <n v="0"/>
    <n v="0"/>
    <m/>
    <m/>
    <s v="Not Started"/>
    <s v="No"/>
    <s v="No"/>
    <s v="No"/>
    <n v="0"/>
    <n v="0"/>
    <m/>
    <m/>
    <s v="Not Started"/>
    <s v="No"/>
    <s v="No"/>
    <s v="No"/>
    <n v="0"/>
    <n v="0"/>
    <m/>
    <m/>
    <s v="Not Started"/>
    <s v="No"/>
    <s v="No"/>
    <s v="No"/>
    <n v="0"/>
    <n v="0"/>
    <m/>
    <m/>
    <s v="Not Started"/>
    <s v="No"/>
    <s v="No"/>
    <s v="No"/>
    <m/>
    <m/>
    <n v="0"/>
    <m/>
    <m/>
  </r>
  <r>
    <s v="GV.SC-10 Ex5"/>
    <x v="0"/>
    <s v="The organization's cybersecurity risk management strategy, expectations, and policy are established, communicated, and monitored"/>
    <x v="0"/>
    <s v="Cybersecurity Supply Chain Risk Management (GV.SC)"/>
    <s v="Cyber supply chain risk management processes are identified, established, managed, monitored, and improved by organizational stakeholders"/>
    <s v="GV.SC-10"/>
    <s v="Cybersecurity supply chain risk management plans include provisions for activities that occur after the conclusion of a partnership or service agreement"/>
    <s v="Ex5: Develop and execute a plan for terminating or transitioning supplier relationships that takes supply chain security risk and resiliency into account"/>
    <s v="PM-31,RA-03,RA-05,RA-07,SA-04,SA-09,SR-02,SR-03,SR-05,SR-06"/>
    <x v="1"/>
    <m/>
    <m/>
    <m/>
    <s v="PM-31,RA-03,RA-05,RA-07,SA-04,SA-09,SR-02,SR-03,SR-05,SR-06"/>
    <m/>
    <n v="0"/>
    <n v="0"/>
    <m/>
    <m/>
    <s v="Not Started"/>
    <s v="No"/>
    <s v="No"/>
    <s v="No"/>
    <n v="0"/>
    <n v="0"/>
    <m/>
    <m/>
    <s v="Not Started"/>
    <s v="No"/>
    <s v="No"/>
    <s v="No"/>
    <n v="0"/>
    <n v="0"/>
    <m/>
    <m/>
    <s v="Not Started"/>
    <s v="No"/>
    <s v="No"/>
    <s v="No"/>
    <n v="0"/>
    <n v="0"/>
    <m/>
    <m/>
    <s v="Not Started"/>
    <s v="No"/>
    <s v="No"/>
    <s v="No"/>
    <m/>
    <m/>
    <n v="0"/>
    <m/>
    <m/>
  </r>
  <r>
    <s v="GV.SC-10 Ex6"/>
    <x v="0"/>
    <s v="The organization's cybersecurity risk management strategy, expectations, and policy are established, communicated, and monitored"/>
    <x v="0"/>
    <s v="Cybersecurity Supply Chain Risk Management (GV.SC)"/>
    <s v="Cyber supply chain risk management processes are identified, established, managed, monitored, and improved by organizational stakeholders"/>
    <s v="GV.SC-10"/>
    <s v="Cybersecurity supply chain risk management plans include provisions for activities that occur after the conclusion of a partnership or service agreement"/>
    <s v="Ex6: Mitigate risks to data and systems created by supplier termination"/>
    <s v="PM-31,RA-03,RA-05,RA-07,SA-04,SA-09,SR-02,SR-03,SR-05,SR-06"/>
    <x v="1"/>
    <m/>
    <m/>
    <m/>
    <s v="PM-31,RA-03,RA-05,RA-07,SA-04,SA-09,SR-02,SR-03,SR-05,SR-06"/>
    <m/>
    <n v="0"/>
    <n v="0"/>
    <m/>
    <m/>
    <s v="Not Started"/>
    <s v="No"/>
    <s v="No"/>
    <s v="No"/>
    <n v="0"/>
    <n v="0"/>
    <m/>
    <m/>
    <s v="Not Started"/>
    <s v="No"/>
    <s v="No"/>
    <s v="No"/>
    <n v="0"/>
    <n v="0"/>
    <m/>
    <m/>
    <s v="Not Started"/>
    <s v="No"/>
    <s v="No"/>
    <s v="No"/>
    <n v="0"/>
    <n v="0"/>
    <m/>
    <m/>
    <s v="Not Started"/>
    <s v="No"/>
    <s v="No"/>
    <s v="No"/>
    <m/>
    <m/>
    <n v="0"/>
    <m/>
    <m/>
  </r>
  <r>
    <s v="GV.SC-10 Ex7"/>
    <x v="0"/>
    <s v="The organization's cybersecurity risk management strategy, expectations, and policy are established, communicated, and monitored"/>
    <x v="0"/>
    <s v="Cybersecurity Supply Chain Risk Management (GV.SC)"/>
    <s v="Cyber supply chain risk management processes are identified, established, managed, monitored, and improved by organizational stakeholders"/>
    <s v="GV.SC-10"/>
    <s v="Cybersecurity supply chain risk management plans include provisions for activities that occur after the conclusion of a partnership or service agreement"/>
    <s v="Ex7: Manage data leakage risks associated with supplier termination"/>
    <s v="PM-31,RA-03,RA-05,RA-07,SA-04,SA-09,SR-02,SR-03,SR-05,SR-06"/>
    <x v="1"/>
    <m/>
    <m/>
    <m/>
    <s v="PM-31,RA-03,RA-05,RA-07,SA-04,SA-09,SR-02,SR-03,SR-05,SR-06"/>
    <m/>
    <n v="0"/>
    <n v="0"/>
    <m/>
    <m/>
    <s v="Not Started"/>
    <s v="No"/>
    <s v="No"/>
    <s v="No"/>
    <n v="0"/>
    <n v="0"/>
    <m/>
    <m/>
    <s v="Not Started"/>
    <s v="No"/>
    <s v="No"/>
    <s v="No"/>
    <n v="0"/>
    <n v="0"/>
    <m/>
    <m/>
    <s v="Not Started"/>
    <s v="No"/>
    <s v="No"/>
    <s v="No"/>
    <n v="0"/>
    <n v="0"/>
    <m/>
    <m/>
    <s v="Not Started"/>
    <s v="No"/>
    <s v="No"/>
    <s v="No"/>
    <m/>
    <m/>
    <n v="0"/>
    <m/>
    <m/>
  </r>
  <r>
    <s v="ID.AM-01 Ex1"/>
    <x v="1"/>
    <s v="The organization's current cybersecurity risks are understood"/>
    <x v="14"/>
    <s v="Asset Management (ID.AM)"/>
    <s v="Assets (e.g., data, hardware, software, systems, facilities, services, people) that enable the organization to achieve business purposes are identified and managed consistent with their relative importance to organizational objectives and the organization's risk strategy"/>
    <s v="ID.AM-01"/>
    <s v="Inventories of hardware managed by the organization are maintained"/>
    <s v="Ex1: Maintain inventories for all types of hardware, including IT, IoT, OT, and mobile devices"/>
    <s v="CM-08,PM-05"/>
    <x v="1"/>
    <m/>
    <m/>
    <m/>
    <s v="CM-08,PM-05"/>
    <m/>
    <n v="0"/>
    <n v="0"/>
    <m/>
    <m/>
    <s v="Not Started"/>
    <s v="No"/>
    <s v="No"/>
    <s v="No"/>
    <n v="0"/>
    <n v="0"/>
    <m/>
    <m/>
    <s v="Not Started"/>
    <s v="No"/>
    <s v="No"/>
    <s v="No"/>
    <n v="0"/>
    <n v="0"/>
    <m/>
    <m/>
    <s v="Not Started"/>
    <s v="No"/>
    <s v="No"/>
    <s v="No"/>
    <n v="0"/>
    <n v="0"/>
    <m/>
    <m/>
    <s v="Not Started"/>
    <s v="No"/>
    <s v="No"/>
    <s v="No"/>
    <m/>
    <m/>
    <n v="0"/>
    <m/>
    <m/>
  </r>
  <r>
    <s v="ID.AM-01 Ex2"/>
    <x v="1"/>
    <s v="The organization's current cybersecurity risks are understood"/>
    <x v="14"/>
    <s v="Asset Management (ID.AM)"/>
    <s v="Assets (e.g., data, hardware, software, systems, facilities, services, people) that enable the organization to achieve business purposes are identified and managed consistent with their relative importance to organizational objectives and the organization's risk strategy"/>
    <s v="ID.AM-01"/>
    <s v="Inventories of hardware managed by the organization are maintained"/>
    <s v="Ex2: Constantly monitor networks to detect new hardware and automatically update inventories"/>
    <s v="CM-08,PM-05"/>
    <x v="1"/>
    <m/>
    <m/>
    <m/>
    <s v="CM-08,PM-05"/>
    <m/>
    <n v="0"/>
    <n v="0"/>
    <m/>
    <m/>
    <s v="Not Started"/>
    <s v="No"/>
    <s v="No"/>
    <s v="No"/>
    <n v="0"/>
    <n v="0"/>
    <m/>
    <m/>
    <s v="Not Started"/>
    <s v="No"/>
    <s v="No"/>
    <s v="No"/>
    <n v="0"/>
    <n v="0"/>
    <m/>
    <m/>
    <s v="Not Started"/>
    <s v="No"/>
    <s v="No"/>
    <s v="No"/>
    <n v="0"/>
    <n v="0"/>
    <m/>
    <m/>
    <s v="Not Started"/>
    <s v="No"/>
    <s v="No"/>
    <s v="No"/>
    <m/>
    <m/>
    <n v="0"/>
    <m/>
    <m/>
  </r>
  <r>
    <s v="ID.AM-02 Ex1"/>
    <x v="1"/>
    <s v="The organization's current cybersecurity risks are understood"/>
    <x v="14"/>
    <s v="Asset Management (ID.AM)"/>
    <s v="Assets (e.g., data, hardware, software, systems, facilities, services, people) that enable the organization to achieve business purposes are identified and managed consistent with their relative importance to organizational objectives and the organization's risk strategy"/>
    <s v="ID.AM-02"/>
    <s v="Inventories of software, services, and systems managed by the organization are maintained"/>
    <s v="Ex1: Maintain inventories for all types of software and services, including commercial-off-the-shelf, open-source, custom applications, API services, and cloud-based applications and services"/>
    <s v="AC-20,CM-08,PM-05,SA-05,SA-09"/>
    <x v="1"/>
    <m/>
    <m/>
    <m/>
    <s v="AC-20,CM-08,PM-05,SA-05,SA-09"/>
    <m/>
    <n v="0"/>
    <n v="0"/>
    <m/>
    <m/>
    <s v="Not Started"/>
    <s v="No"/>
    <s v="No"/>
    <s v="No"/>
    <n v="0"/>
    <n v="0"/>
    <m/>
    <m/>
    <s v="Not Started"/>
    <s v="No"/>
    <s v="No"/>
    <s v="No"/>
    <n v="0"/>
    <n v="0"/>
    <m/>
    <m/>
    <s v="Not Started"/>
    <s v="No"/>
    <s v="No"/>
    <s v="No"/>
    <n v="0"/>
    <n v="0"/>
    <m/>
    <m/>
    <s v="Not Started"/>
    <s v="No"/>
    <s v="No"/>
    <s v="No"/>
    <m/>
    <m/>
    <n v="0"/>
    <m/>
    <m/>
  </r>
  <r>
    <s v="ID.AM-02 Ex3"/>
    <x v="1"/>
    <s v="The organization's current cybersecurity risks are understood"/>
    <x v="14"/>
    <s v="Asset Management (ID.AM)"/>
    <s v="Assets (e.g., data, hardware, software, systems, facilities, services, people) that enable the organization to achieve business purposes are identified and managed consistent with their relative importance to organizational objectives and the organization's risk strategy"/>
    <s v="ID.AM-02"/>
    <s v="Inventories of software, services, and systems managed by the organization are maintained"/>
    <s v="Ex3: Maintain an inventory of the organization's systems"/>
    <s v="AC-20,CM-08,PM-05,SA-05,SA-09"/>
    <x v="1"/>
    <m/>
    <m/>
    <m/>
    <s v="AC-20,CM-08,PM-05,SA-05,SA-09"/>
    <m/>
    <n v="0"/>
    <n v="0"/>
    <m/>
    <m/>
    <s v="Not Started"/>
    <s v="No"/>
    <s v="No"/>
    <s v="No"/>
    <n v="0"/>
    <n v="0"/>
    <m/>
    <m/>
    <s v="Not Started"/>
    <s v="No"/>
    <s v="No"/>
    <s v="No"/>
    <n v="0"/>
    <n v="0"/>
    <m/>
    <m/>
    <s v="Not Started"/>
    <s v="No"/>
    <s v="No"/>
    <s v="No"/>
    <n v="0"/>
    <n v="0"/>
    <m/>
    <m/>
    <s v="Not Started"/>
    <s v="No"/>
    <s v="No"/>
    <s v="No"/>
    <m/>
    <m/>
    <n v="0"/>
    <m/>
    <m/>
  </r>
  <r>
    <s v="ID.AM-03 Ex1"/>
    <x v="1"/>
    <s v="The organization's current cybersecurity risks are understood"/>
    <x v="14"/>
    <s v="Asset Management (ID.AM)"/>
    <s v="Assets (e.g., data, hardware, software, systems, facilities, services, people) that enable the organization to achieve business purposes are identified and managed consistent with their relative importance to organizational objectives and the organization's risk strategy"/>
    <s v="ID.AM-03"/>
    <s v="Representations of the organization's authorized network communication and internal and external network data flows are maintained"/>
    <s v="Ex1: Maintain baselines of communication and data flows within the organization's wired and wireless networks"/>
    <s v="AC-04,CA-03,CA-09,PL-02,PL-08,PM-07"/>
    <x v="1"/>
    <m/>
    <m/>
    <m/>
    <s v="AC-04,CA-03,CA-09,PL-02,PL-08,PM-07"/>
    <m/>
    <n v="0"/>
    <n v="0"/>
    <m/>
    <m/>
    <s v="Not Started"/>
    <s v="No"/>
    <s v="No"/>
    <s v="No"/>
    <n v="0"/>
    <n v="0"/>
    <m/>
    <m/>
    <s v="Not Started"/>
    <s v="No"/>
    <s v="No"/>
    <s v="No"/>
    <n v="0"/>
    <n v="0"/>
    <m/>
    <m/>
    <s v="Not Started"/>
    <s v="No"/>
    <s v="No"/>
    <s v="No"/>
    <n v="0"/>
    <n v="0"/>
    <m/>
    <m/>
    <s v="Not Started"/>
    <s v="No"/>
    <s v="No"/>
    <s v="No"/>
    <m/>
    <m/>
    <n v="0"/>
    <m/>
    <m/>
  </r>
  <r>
    <s v="ID.AM-03 Ex2"/>
    <x v="1"/>
    <s v="The organization's current cybersecurity risks are understood"/>
    <x v="14"/>
    <s v="Asset Management (ID.AM)"/>
    <s v="Assets (e.g., data, hardware, software, systems, facilities, services, people) that enable the organization to achieve business purposes are identified and managed consistent with their relative importance to organizational objectives and the organization's risk strategy"/>
    <s v="ID.AM-03"/>
    <s v="Representations of the organization's authorized network communication and internal and external network data flows are maintained"/>
    <s v="Ex2: Maintain baselines of communication and data flows between the organization and third parties"/>
    <s v="AC-04,CA-03,CA-09,PL-02,PL-08,PM-07"/>
    <x v="1"/>
    <m/>
    <m/>
    <m/>
    <s v="AC-04,CA-03,CA-09,PL-02,PL-08,PM-07"/>
    <m/>
    <n v="0"/>
    <n v="0"/>
    <m/>
    <m/>
    <s v="Not Started"/>
    <s v="No"/>
    <s v="No"/>
    <s v="No"/>
    <n v="0"/>
    <n v="0"/>
    <m/>
    <m/>
    <s v="Not Started"/>
    <s v="No"/>
    <s v="No"/>
    <s v="No"/>
    <n v="0"/>
    <n v="0"/>
    <m/>
    <m/>
    <s v="Not Started"/>
    <s v="No"/>
    <s v="No"/>
    <s v="No"/>
    <n v="0"/>
    <n v="0"/>
    <m/>
    <m/>
    <s v="Not Started"/>
    <s v="No"/>
    <s v="No"/>
    <s v="No"/>
    <m/>
    <m/>
    <n v="0"/>
    <m/>
    <m/>
  </r>
  <r>
    <s v="ID.AM-03 Ex3"/>
    <x v="1"/>
    <s v="The organization's current cybersecurity risks are understood"/>
    <x v="14"/>
    <s v="Asset Management (ID.AM)"/>
    <s v="Assets (e.g., data, hardware, software, systems, facilities, services, people) that enable the organization to achieve business purposes are identified and managed consistent with their relative importance to organizational objectives and the organization's risk strategy"/>
    <s v="ID.AM-03"/>
    <s v="Representations of the organization's authorized network communication and internal and external network data flows are maintained"/>
    <s v="Ex3: Maintain baselines of communication and data flows for the organization's infrastructure-as-a-service (IaaS) usage"/>
    <s v="AC-04,CA-03,CA-09,PL-02,PL-08,PM-07"/>
    <x v="1"/>
    <m/>
    <m/>
    <m/>
    <s v="AC-04,CA-03,CA-09,PL-02,PL-08,PM-07"/>
    <m/>
    <n v="0"/>
    <n v="0"/>
    <m/>
    <m/>
    <s v="Not Started"/>
    <s v="No"/>
    <s v="No"/>
    <s v="No"/>
    <n v="0"/>
    <n v="0"/>
    <m/>
    <m/>
    <s v="Not Started"/>
    <s v="No"/>
    <s v="No"/>
    <s v="No"/>
    <n v="0"/>
    <n v="0"/>
    <m/>
    <m/>
    <s v="Not Started"/>
    <s v="No"/>
    <s v="No"/>
    <s v="No"/>
    <n v="0"/>
    <n v="0"/>
    <m/>
    <m/>
    <s v="Not Started"/>
    <s v="No"/>
    <s v="No"/>
    <s v="No"/>
    <m/>
    <m/>
    <n v="0"/>
    <m/>
    <m/>
  </r>
  <r>
    <s v="ID.AM-03 Ex4"/>
    <x v="1"/>
    <s v="The organization's current cybersecurity risks are understood"/>
    <x v="14"/>
    <s v="Asset Management (ID.AM)"/>
    <s v="Assets (e.g., data, hardware, software, systems, facilities, services, people) that enable the organization to achieve business purposes are identified and managed consistent with their relative importance to organizational objectives and the organization's risk strategy"/>
    <s v="ID.AM-03"/>
    <s v="Representations of the organization's authorized network communication and internal and external network data flows are maintained"/>
    <s v="Ex4: Maintain documentation of expected network ports, protocols, and services that are typically used among authorized systems"/>
    <s v="AC-04,CA-03,CA-09,PL-02,PL-08,PM-07"/>
    <x v="1"/>
    <m/>
    <m/>
    <m/>
    <s v="AC-04,CA-03,CA-09,PL-02,PL-08,PM-07"/>
    <m/>
    <n v="0"/>
    <n v="0"/>
    <m/>
    <m/>
    <s v="Not Started"/>
    <s v="No"/>
    <s v="No"/>
    <s v="No"/>
    <n v="0"/>
    <n v="0"/>
    <m/>
    <m/>
    <s v="Not Started"/>
    <s v="No"/>
    <s v="No"/>
    <s v="No"/>
    <n v="0"/>
    <n v="0"/>
    <m/>
    <m/>
    <s v="Not Started"/>
    <s v="No"/>
    <s v="No"/>
    <s v="No"/>
    <n v="0"/>
    <n v="0"/>
    <m/>
    <m/>
    <s v="Not Started"/>
    <s v="No"/>
    <s v="No"/>
    <s v="No"/>
    <m/>
    <m/>
    <n v="0"/>
    <m/>
    <m/>
  </r>
  <r>
    <s v="ID.AM-04 Ex1"/>
    <x v="1"/>
    <s v="The organization's current cybersecurity risks are understood"/>
    <x v="14"/>
    <s v="Asset Management (ID.AM)"/>
    <s v="Assets (e.g., data, hardware, software, systems, facilities, services, people) that enable the organization to achieve business purposes are identified and managed consistent with their relative importance to organizational objectives and the organization's risk strategy"/>
    <s v="ID.AM-04"/>
    <s v="Inventories of services provided by suppliers are maintained"/>
    <s v="Ex1: Inventory all external services used by the organization, including third-party infrastructure-as-a-service (IaaS), platform-as-a-service (PaaS), and software-as-a-service (SaaS) offerings; APIs; and other externally hosted application services"/>
    <s v="AC-20,SA-09,SR-02"/>
    <x v="1"/>
    <m/>
    <m/>
    <m/>
    <s v="AC-20,SA-09,SR-02"/>
    <m/>
    <n v="0"/>
    <n v="0"/>
    <m/>
    <m/>
    <s v="Not Started"/>
    <s v="No"/>
    <s v="No"/>
    <s v="No"/>
    <n v="0"/>
    <n v="0"/>
    <m/>
    <m/>
    <s v="Not Started"/>
    <s v="No"/>
    <s v="No"/>
    <s v="No"/>
    <n v="0"/>
    <n v="0"/>
    <m/>
    <m/>
    <s v="Not Started"/>
    <s v="No"/>
    <s v="No"/>
    <s v="No"/>
    <n v="0"/>
    <n v="0"/>
    <m/>
    <m/>
    <s v="Not Started"/>
    <s v="No"/>
    <s v="No"/>
    <s v="No"/>
    <m/>
    <m/>
    <n v="0"/>
    <m/>
    <m/>
  </r>
  <r>
    <s v="ID.AM-04 Ex2"/>
    <x v="1"/>
    <s v="The organization's current cybersecurity risks are understood"/>
    <x v="14"/>
    <s v="Asset Management (ID.AM)"/>
    <s v="Assets (e.g., data, hardware, software, systems, facilities, services, people) that enable the organization to achieve business purposes are identified and managed consistent with their relative importance to organizational objectives and the organization's risk strategy"/>
    <s v="ID.AM-04"/>
    <s v="Inventories of services provided by suppliers are maintained"/>
    <s v="Ex2: Update the inventory when a new external service is going to be utilized to ensure adequate cybersecurity risk management monitoring of the organization's use of that service"/>
    <s v="AC-20,SA-09,SR-02"/>
    <x v="1"/>
    <m/>
    <m/>
    <m/>
    <s v="AC-20,SA-09,SR-02"/>
    <m/>
    <n v="0"/>
    <n v="0"/>
    <m/>
    <m/>
    <s v="Not Started"/>
    <s v="No"/>
    <s v="No"/>
    <s v="No"/>
    <n v="0"/>
    <n v="0"/>
    <m/>
    <m/>
    <s v="Not Started"/>
    <s v="No"/>
    <s v="No"/>
    <s v="No"/>
    <n v="0"/>
    <n v="0"/>
    <m/>
    <m/>
    <s v="Not Started"/>
    <s v="No"/>
    <s v="No"/>
    <s v="No"/>
    <n v="0"/>
    <n v="0"/>
    <m/>
    <m/>
    <s v="Not Started"/>
    <s v="No"/>
    <s v="No"/>
    <s v="No"/>
    <m/>
    <m/>
    <n v="0"/>
    <m/>
    <m/>
  </r>
  <r>
    <s v="ID.AM-05 Ex1"/>
    <x v="1"/>
    <s v="The organization's current cybersecurity risks are understood"/>
    <x v="14"/>
    <s v="Asset Management (ID.AM)"/>
    <s v="Assets (e.g., data, hardware, software, systems, facilities, services, people) that enable the organization to achieve business purposes are identified and managed consistent with their relative importance to organizational objectives and the organization's risk strategy"/>
    <s v="ID.AM-05"/>
    <s v="Assets are prioritized based on classification, criticality, resources, and impact on the mission"/>
    <s v="Ex1: Define criteria for prioritizing each class of assets"/>
    <s v="RA-02,RA-03,RA-09"/>
    <x v="1"/>
    <m/>
    <m/>
    <m/>
    <s v="RA-02,RA-03,RA-09"/>
    <m/>
    <n v="0"/>
    <n v="0"/>
    <m/>
    <m/>
    <s v="Not Started"/>
    <s v="No"/>
    <s v="No"/>
    <s v="No"/>
    <n v="0"/>
    <n v="0"/>
    <m/>
    <m/>
    <s v="Not Started"/>
    <s v="No"/>
    <s v="No"/>
    <s v="No"/>
    <n v="0"/>
    <n v="0"/>
    <m/>
    <m/>
    <s v="Not Started"/>
    <s v="No"/>
    <s v="No"/>
    <s v="No"/>
    <n v="0"/>
    <n v="0"/>
    <m/>
    <m/>
    <s v="Not Started"/>
    <s v="No"/>
    <s v="No"/>
    <s v="No"/>
    <m/>
    <m/>
    <n v="0"/>
    <m/>
    <m/>
  </r>
  <r>
    <s v="ID.AM-05 Ex2"/>
    <x v="1"/>
    <s v="The organization's current cybersecurity risks are understood"/>
    <x v="14"/>
    <s v="Asset Management (ID.AM)"/>
    <s v="Assets (e.g., data, hardware, software, systems, facilities, services, people) that enable the organization to achieve business purposes are identified and managed consistent with their relative importance to organizational objectives and the organization's risk strategy"/>
    <s v="ID.AM-05"/>
    <s v="Assets are prioritized based on classification, criticality, resources, and impact on the mission"/>
    <s v="Ex2: Apply the prioritization criteria to assets"/>
    <s v="RA-02,RA-03,RA-09"/>
    <x v="1"/>
    <m/>
    <m/>
    <m/>
    <s v="RA-02,RA-03,RA-09"/>
    <m/>
    <n v="0"/>
    <n v="0"/>
    <m/>
    <m/>
    <s v="Not Started"/>
    <s v="No"/>
    <s v="No"/>
    <s v="No"/>
    <n v="0"/>
    <n v="0"/>
    <m/>
    <m/>
    <s v="Not Started"/>
    <s v="No"/>
    <s v="No"/>
    <s v="No"/>
    <n v="0"/>
    <n v="0"/>
    <m/>
    <m/>
    <s v="Not Started"/>
    <s v="No"/>
    <s v="No"/>
    <s v="No"/>
    <n v="0"/>
    <n v="0"/>
    <m/>
    <m/>
    <s v="Not Started"/>
    <s v="No"/>
    <s v="No"/>
    <s v="No"/>
    <m/>
    <m/>
    <n v="0"/>
    <m/>
    <m/>
  </r>
  <r>
    <s v="ID.AM-05 Ex3"/>
    <x v="1"/>
    <s v="The organization's current cybersecurity risks are understood"/>
    <x v="14"/>
    <s v="Asset Management (ID.AM)"/>
    <s v="Assets (e.g., data, hardware, software, systems, facilities, services, people) that enable the organization to achieve business purposes are identified and managed consistent with their relative importance to organizational objectives and the organization's risk strategy"/>
    <s v="ID.AM-05"/>
    <s v="Assets are prioritized based on classification, criticality, resources, and impact on the mission"/>
    <s v="Ex3: Track the asset priorities and update them periodically or when significant changes to the organization occur"/>
    <s v="RA-02,RA-03,RA-09"/>
    <x v="1"/>
    <m/>
    <m/>
    <m/>
    <s v="RA-02,RA-03,RA-09"/>
    <m/>
    <n v="0"/>
    <n v="0"/>
    <m/>
    <m/>
    <s v="Not Started"/>
    <s v="No"/>
    <s v="No"/>
    <s v="No"/>
    <n v="0"/>
    <n v="0"/>
    <m/>
    <m/>
    <s v="Not Started"/>
    <s v="No"/>
    <s v="No"/>
    <s v="No"/>
    <n v="0"/>
    <n v="0"/>
    <m/>
    <m/>
    <s v="Not Started"/>
    <s v="No"/>
    <s v="No"/>
    <s v="No"/>
    <n v="0"/>
    <n v="0"/>
    <m/>
    <m/>
    <s v="Not Started"/>
    <s v="No"/>
    <s v="No"/>
    <s v="No"/>
    <m/>
    <m/>
    <n v="0"/>
    <m/>
    <m/>
  </r>
  <r>
    <s v="ID.AM-07 Ex1"/>
    <x v="1"/>
    <s v="The organization's current cybersecurity risks are understood"/>
    <x v="14"/>
    <s v="Asset Management (ID.AM)"/>
    <s v="Assets (e.g., data, hardware, software, systems, facilities, services, people) that enable the organization to achieve business purposes are identified and managed consistent with their relative importance to organizational objectives and the organization's risk strategy"/>
    <s v="ID.AM-07"/>
    <s v="Inventories of data and corresponding metadata for designated data types are maintained"/>
    <s v="Ex1: Maintain a list of the designated data types of interest (e.g., personally identifiable information, protected health information, financial account numbers, organization intellectual property, operational technology data)"/>
    <s v="CM-12,CM-13,SI-12"/>
    <x v="1"/>
    <m/>
    <m/>
    <m/>
    <s v="CM-12,CM-13,SI-12"/>
    <m/>
    <n v="0"/>
    <n v="0"/>
    <m/>
    <m/>
    <s v="Not Started"/>
    <s v="No"/>
    <s v="No"/>
    <s v="No"/>
    <n v="0"/>
    <n v="0"/>
    <m/>
    <m/>
    <s v="Not Started"/>
    <s v="No"/>
    <s v="No"/>
    <s v="No"/>
    <n v="0"/>
    <n v="0"/>
    <m/>
    <m/>
    <s v="Not Started"/>
    <s v="No"/>
    <s v="No"/>
    <s v="No"/>
    <n v="0"/>
    <n v="0"/>
    <m/>
    <m/>
    <s v="Not Started"/>
    <s v="No"/>
    <s v="No"/>
    <s v="No"/>
    <m/>
    <m/>
    <n v="0"/>
    <m/>
    <m/>
  </r>
  <r>
    <s v="ID.AM-07 Ex2"/>
    <x v="1"/>
    <s v="The organization's current cybersecurity risks are understood"/>
    <x v="14"/>
    <s v="Asset Management (ID.AM)"/>
    <s v="Assets (e.g., data, hardware, software, systems, facilities, services, people) that enable the organization to achieve business purposes are identified and managed consistent with their relative importance to organizational objectives and the organization's risk strategy"/>
    <s v="ID.AM-07"/>
    <s v="Inventories of data and corresponding metadata for designated data types are maintained"/>
    <s v="Ex2: Continuously discover and analyze ad hoc data to identify new instances of designated data types"/>
    <s v="CM-12,CM-13,SI-12"/>
    <x v="1"/>
    <m/>
    <m/>
    <m/>
    <s v="CM-12,CM-13,SI-12"/>
    <m/>
    <n v="0"/>
    <n v="0"/>
    <m/>
    <m/>
    <s v="Not Started"/>
    <s v="No"/>
    <s v="No"/>
    <s v="No"/>
    <n v="0"/>
    <n v="0"/>
    <m/>
    <m/>
    <s v="Not Started"/>
    <s v="No"/>
    <s v="No"/>
    <s v="No"/>
    <n v="0"/>
    <n v="0"/>
    <m/>
    <m/>
    <s v="Not Started"/>
    <s v="No"/>
    <s v="No"/>
    <s v="No"/>
    <n v="0"/>
    <n v="0"/>
    <m/>
    <m/>
    <s v="Not Started"/>
    <s v="No"/>
    <s v="No"/>
    <s v="No"/>
    <m/>
    <m/>
    <n v="0"/>
    <m/>
    <m/>
  </r>
  <r>
    <s v="ID.AM-07 Ex4"/>
    <x v="1"/>
    <s v="The organization's current cybersecurity risks are understood"/>
    <x v="14"/>
    <s v="Asset Management (ID.AM)"/>
    <s v="Assets (e.g., data, hardware, software, systems, facilities, services, people) that enable the organization to achieve business purposes are identified and managed consistent with their relative importance to organizational objectives and the organization's risk strategy"/>
    <s v="ID.AM-07"/>
    <s v="Inventories of data and corresponding metadata for designated data types are maintained"/>
    <s v="Ex4: Track the provenance, data owner, and geolocation of each instance of designated data types"/>
    <s v="CM-12,CM-13,SI-12"/>
    <x v="1"/>
    <m/>
    <m/>
    <m/>
    <s v="CM-12,CM-13,SI-12"/>
    <m/>
    <n v="0"/>
    <n v="0"/>
    <m/>
    <m/>
    <s v="Not Started"/>
    <s v="No"/>
    <s v="No"/>
    <s v="No"/>
    <n v="0"/>
    <n v="0"/>
    <m/>
    <m/>
    <s v="Not Started"/>
    <s v="No"/>
    <s v="No"/>
    <s v="No"/>
    <n v="0"/>
    <n v="0"/>
    <m/>
    <m/>
    <s v="Not Started"/>
    <s v="No"/>
    <s v="No"/>
    <s v="No"/>
    <n v="0"/>
    <n v="0"/>
    <m/>
    <m/>
    <s v="Not Started"/>
    <s v="No"/>
    <s v="No"/>
    <s v="No"/>
    <m/>
    <m/>
    <n v="0"/>
    <m/>
    <m/>
  </r>
  <r>
    <s v="ID.AM-08 Ex1"/>
    <x v="1"/>
    <s v="The organization's current cybersecurity risks are understood"/>
    <x v="14"/>
    <s v="Asset Management (ID.AM)"/>
    <s v="Assets (e.g., data, hardware, software, systems, facilities, services, people) that enable the organization to achieve business purposes are identified and managed consistent with their relative importance to organizational objectives and the organization's risk strategy"/>
    <s v="ID.AM-08"/>
    <s v="Systems, hardware, software, services, and data are managed throughout their life cycles"/>
    <s v="Ex1: Integrate cybersecurity considerations throughout the life cycles of systems, hardware, software, and services"/>
    <s v="CM-09,CM-13,MA-02,MA-06,PL-02,PM-22,PM-23,SA-03,SA-04,SA-08,SA-22,SI-12,SI-18,SR-05,SR-12"/>
    <x v="1"/>
    <m/>
    <m/>
    <m/>
    <s v="CM-09,CM-13,MA-02,MA-06,PL-02,PM-22,PM-23,SA-03,SA-04,SA-08,SA-22,SI-12,SI-18,SR-05,SR-12"/>
    <m/>
    <n v="0"/>
    <n v="0"/>
    <m/>
    <m/>
    <s v="Not Started"/>
    <s v="No"/>
    <s v="No"/>
    <s v="No"/>
    <n v="0"/>
    <n v="0"/>
    <m/>
    <m/>
    <s v="Not Started"/>
    <s v="No"/>
    <s v="No"/>
    <s v="No"/>
    <n v="0"/>
    <n v="0"/>
    <m/>
    <m/>
    <s v="Not Started"/>
    <s v="No"/>
    <s v="No"/>
    <s v="No"/>
    <n v="0"/>
    <n v="0"/>
    <m/>
    <m/>
    <s v="Not Started"/>
    <s v="No"/>
    <s v="No"/>
    <s v="No"/>
    <m/>
    <m/>
    <n v="0"/>
    <m/>
    <m/>
  </r>
  <r>
    <s v="ID.AM-08 Ex2"/>
    <x v="1"/>
    <s v="The organization's current cybersecurity risks are understood"/>
    <x v="14"/>
    <s v="Asset Management (ID.AM)"/>
    <s v="Assets (e.g., data, hardware, software, systems, facilities, services, people) that enable the organization to achieve business purposes are identified and managed consistent with their relative importance to organizational objectives and the organization's risk strategy"/>
    <s v="ID.AM-08"/>
    <s v="Systems, hardware, software, services, and data are managed throughout their life cycles"/>
    <s v="Ex2: Integrate cybersecurity considerations into product life cycles"/>
    <s v="CM-09,CM-13,MA-02,MA-06,PL-02,PM-22,PM-23,SA-03,SA-04,SA-08,SA-22,SI-12,SI-18,SR-05,SR-12"/>
    <x v="1"/>
    <m/>
    <m/>
    <m/>
    <s v="CM-09,CM-13,MA-02,MA-06,PL-02,PM-22,PM-23,SA-03,SA-04,SA-08,SA-22,SI-12,SI-18,SR-05,SR-12"/>
    <m/>
    <n v="0"/>
    <n v="0"/>
    <m/>
    <m/>
    <s v="Not Started"/>
    <s v="No"/>
    <s v="No"/>
    <s v="No"/>
    <n v="0"/>
    <n v="0"/>
    <m/>
    <m/>
    <s v="Not Started"/>
    <s v="No"/>
    <s v="No"/>
    <s v="No"/>
    <n v="0"/>
    <n v="0"/>
    <m/>
    <m/>
    <s v="Not Started"/>
    <s v="No"/>
    <s v="No"/>
    <s v="No"/>
    <n v="0"/>
    <n v="0"/>
    <m/>
    <m/>
    <s v="Not Started"/>
    <s v="No"/>
    <s v="No"/>
    <s v="No"/>
    <m/>
    <m/>
    <n v="0"/>
    <m/>
    <m/>
  </r>
  <r>
    <s v="ID.AM-08 Ex3"/>
    <x v="1"/>
    <s v="The organization's current cybersecurity risks are understood"/>
    <x v="14"/>
    <s v="Asset Management (ID.AM)"/>
    <s v="Assets (e.g., data, hardware, software, systems, facilities, services, people) that enable the organization to achieve business purposes are identified and managed consistent with their relative importance to organizational objectives and the organization's risk strategy"/>
    <s v="ID.AM-08"/>
    <s v="Systems, hardware, software, services, and data are managed throughout their life cycles"/>
    <s v="Ex3: Identify unofficial uses of technology to meet mission objectives (i.e., shadow IT)"/>
    <s v="CM-09,CM-13,MA-02,MA-06,PL-02,PM-22,PM-23,SA-03,SA-04,SA-08,SA-22,SI-12,SI-18,SR-05,SR-12"/>
    <x v="1"/>
    <m/>
    <m/>
    <m/>
    <s v="CM-09,CM-13,MA-02,MA-06,PL-02,PM-22,PM-23,SA-03,SA-04,SA-08,SA-22,SI-12,SI-18,SR-05,SR-12"/>
    <m/>
    <n v="0"/>
    <n v="0"/>
    <m/>
    <m/>
    <s v="Not Started"/>
    <s v="No"/>
    <s v="No"/>
    <s v="No"/>
    <n v="0"/>
    <n v="0"/>
    <m/>
    <m/>
    <s v="Not Started"/>
    <s v="No"/>
    <s v="No"/>
    <s v="No"/>
    <n v="0"/>
    <n v="0"/>
    <m/>
    <m/>
    <s v="Not Started"/>
    <s v="No"/>
    <s v="No"/>
    <s v="No"/>
    <n v="0"/>
    <n v="0"/>
    <m/>
    <m/>
    <s v="Not Started"/>
    <s v="No"/>
    <s v="No"/>
    <s v="No"/>
    <m/>
    <m/>
    <n v="0"/>
    <m/>
    <m/>
  </r>
  <r>
    <s v="ID.AM-08 Ex4"/>
    <x v="1"/>
    <s v="The organization's current cybersecurity risks are understood"/>
    <x v="14"/>
    <s v="Asset Management (ID.AM)"/>
    <s v="Assets (e.g., data, hardware, software, systems, facilities, services, people) that enable the organization to achieve business purposes are identified and managed consistent with their relative importance to organizational objectives and the organization's risk strategy"/>
    <s v="ID.AM-08"/>
    <s v="Systems, hardware, software, services, and data are managed throughout their life cycles"/>
    <s v="Ex4: Periodically identify redundant systems, hardware, software, and services that unnecessarily increase the organization's attack surface"/>
    <s v="CM-09,CM-13,MA-02,MA-06,PL-02,PM-22,PM-23,SA-03,SA-04,SA-08,SA-22,SI-12,SI-18,SR-05,SR-12"/>
    <x v="1"/>
    <m/>
    <m/>
    <m/>
    <s v="CM-09,CM-13,MA-02,MA-06,PL-02,PM-22,PM-23,SA-03,SA-04,SA-08,SA-22,SI-12,SI-18,SR-05,SR-12"/>
    <m/>
    <n v="0"/>
    <n v="0"/>
    <m/>
    <m/>
    <s v="Not Started"/>
    <s v="No"/>
    <s v="No"/>
    <s v="No"/>
    <n v="0"/>
    <n v="0"/>
    <m/>
    <m/>
    <s v="Not Started"/>
    <s v="No"/>
    <s v="No"/>
    <s v="No"/>
    <n v="0"/>
    <n v="0"/>
    <m/>
    <m/>
    <s v="Not Started"/>
    <s v="No"/>
    <s v="No"/>
    <s v="No"/>
    <n v="0"/>
    <n v="0"/>
    <m/>
    <m/>
    <s v="Not Started"/>
    <s v="No"/>
    <s v="No"/>
    <s v="No"/>
    <m/>
    <m/>
    <n v="0"/>
    <m/>
    <m/>
  </r>
  <r>
    <s v="ID.AM-08 Ex5"/>
    <x v="1"/>
    <s v="The organization's current cybersecurity risks are understood"/>
    <x v="14"/>
    <s v="Asset Management (ID.AM)"/>
    <s v="Assets (e.g., data, hardware, software, systems, facilities, services, people) that enable the organization to achieve business purposes are identified and managed consistent with their relative importance to organizational objectives and the organization's risk strategy"/>
    <s v="ID.AM-08"/>
    <s v="Systems, hardware, software, services, and data are managed throughout their life cycles"/>
    <s v="Ex5: Properly configure and secure systems, hardware, software, and services prior to their deployment in production"/>
    <s v="CM-09,CM-13,MA-02,MA-06,PL-02,PM-22,PM-23,SA-03,SA-04,SA-08,SA-22,SI-12,SI-18,SR-05,SR-12"/>
    <x v="1"/>
    <m/>
    <m/>
    <m/>
    <s v="CM-09,CM-13,MA-02,MA-06,PL-02,PM-22,PM-23,SA-03,SA-04,SA-08,SA-22,SI-12,SI-18,SR-05,SR-12"/>
    <m/>
    <n v="0"/>
    <n v="0"/>
    <m/>
    <m/>
    <s v="Not Started"/>
    <s v="No"/>
    <s v="No"/>
    <s v="No"/>
    <n v="0"/>
    <n v="0"/>
    <m/>
    <m/>
    <s v="Not Started"/>
    <s v="No"/>
    <s v="No"/>
    <s v="No"/>
    <n v="0"/>
    <n v="0"/>
    <m/>
    <m/>
    <s v="Not Started"/>
    <s v="No"/>
    <s v="No"/>
    <s v="No"/>
    <n v="0"/>
    <n v="0"/>
    <m/>
    <m/>
    <s v="Not Started"/>
    <s v="No"/>
    <s v="No"/>
    <s v="No"/>
    <m/>
    <m/>
    <n v="0"/>
    <m/>
    <m/>
  </r>
  <r>
    <s v="ID.AM-08 Ex6"/>
    <x v="1"/>
    <s v="The organization's current cybersecurity risks are understood"/>
    <x v="14"/>
    <s v="Asset Management (ID.AM)"/>
    <s v="Assets (e.g., data, hardware, software, systems, facilities, services, people) that enable the organization to achieve business purposes are identified and managed consistent with their relative importance to organizational objectives and the organization's risk strategy"/>
    <s v="ID.AM-08"/>
    <s v="Systems, hardware, software, services, and data are managed throughout their life cycles"/>
    <s v="Ex6: Update inventories when systems, hardware, software, and services are moved or transferred within the organization"/>
    <s v="CM-09,CM-13,MA-02,MA-06,PL-02,PM-22,PM-23,SA-03,SA-04,SA-08,SA-22,SI-12,SI-18,SR-05,SR-12"/>
    <x v="1"/>
    <m/>
    <m/>
    <m/>
    <s v="CM-09,CM-13,MA-02,MA-06,PL-02,PM-22,PM-23,SA-03,SA-04,SA-08,SA-22,SI-12,SI-18,SR-05,SR-12"/>
    <m/>
    <n v="0"/>
    <n v="0"/>
    <m/>
    <m/>
    <s v="Not Started"/>
    <s v="No"/>
    <s v="No"/>
    <s v="No"/>
    <n v="0"/>
    <n v="0"/>
    <m/>
    <m/>
    <s v="Not Started"/>
    <s v="No"/>
    <s v="No"/>
    <s v="No"/>
    <n v="0"/>
    <n v="0"/>
    <m/>
    <m/>
    <s v="Not Started"/>
    <s v="No"/>
    <s v="No"/>
    <s v="No"/>
    <n v="0"/>
    <n v="0"/>
    <m/>
    <m/>
    <s v="Not Started"/>
    <s v="No"/>
    <s v="No"/>
    <s v="No"/>
    <m/>
    <m/>
    <n v="0"/>
    <m/>
    <m/>
  </r>
  <r>
    <s v="ID.AM-08 Ex7"/>
    <x v="1"/>
    <s v="The organization's current cybersecurity risks are understood"/>
    <x v="14"/>
    <s v="Asset Management (ID.AM)"/>
    <s v="Assets (e.g., data, hardware, software, systems, facilities, services, people) that enable the organization to achieve business purposes are identified and managed consistent with their relative importance to organizational objectives and the organization's risk strategy"/>
    <s v="ID.AM-08"/>
    <s v="Systems, hardware, software, services, and data are managed throughout their life cycles"/>
    <s v="Ex7: Securely destroy stored data based on the organization's data retention policy using the prescribed destruction method, and keep and manage a record of the destructions"/>
    <s v="CM-09,CM-13,MA-02,MA-06,PL-02,PM-22,PM-23,SA-03,SA-04,SA-08,SA-22,SI-12,SI-18,SR-05,SR-12"/>
    <x v="1"/>
    <m/>
    <m/>
    <m/>
    <s v="CM-09,CM-13,MA-02,MA-06,PL-02,PM-22,PM-23,SA-03,SA-04,SA-08,SA-22,SI-12,SI-18,SR-05,SR-12"/>
    <m/>
    <n v="0"/>
    <n v="0"/>
    <m/>
    <m/>
    <s v="Not Started"/>
    <s v="No"/>
    <s v="No"/>
    <s v="No"/>
    <n v="0"/>
    <n v="0"/>
    <m/>
    <m/>
    <s v="Not Started"/>
    <s v="No"/>
    <s v="No"/>
    <s v="No"/>
    <n v="0"/>
    <n v="0"/>
    <m/>
    <m/>
    <s v="Not Started"/>
    <s v="No"/>
    <s v="No"/>
    <s v="No"/>
    <n v="0"/>
    <n v="0"/>
    <m/>
    <m/>
    <s v="Not Started"/>
    <s v="No"/>
    <s v="No"/>
    <s v="No"/>
    <m/>
    <m/>
    <n v="0"/>
    <m/>
    <m/>
  </r>
  <r>
    <s v="ID.AM-08 Ex8"/>
    <x v="1"/>
    <s v="The organization's current cybersecurity risks are understood"/>
    <x v="14"/>
    <s v="Asset Management (ID.AM)"/>
    <s v="Assets (e.g., data, hardware, software, systems, facilities, services, people) that enable the organization to achieve business purposes are identified and managed consistent with their relative importance to organizational objectives and the organization's risk strategy"/>
    <s v="ID.AM-08"/>
    <s v="Systems, hardware, software, services, and data are managed throughout their life cycles"/>
    <s v="Ex8: Securely sanitize data storage when hardware is being retired, decommissioned, reassigned, or sent for repairs or replacement"/>
    <s v="CM-09,CM-13,MA-02,MA-06,PL-02,PM-22,PM-23,SA-03,SA-04,SA-08,SA-22,SI-12,SI-18,SR-05,SR-12"/>
    <x v="1"/>
    <m/>
    <m/>
    <m/>
    <s v="CM-09,CM-13,MA-02,MA-06,PL-02,PM-22,PM-23,SA-03,SA-04,SA-08,SA-22,SI-12,SI-18,SR-05,SR-12"/>
    <m/>
    <n v="0"/>
    <n v="0"/>
    <m/>
    <m/>
    <s v="Not Started"/>
    <s v="No"/>
    <s v="No"/>
    <s v="No"/>
    <n v="0"/>
    <n v="0"/>
    <m/>
    <m/>
    <s v="Not Started"/>
    <s v="No"/>
    <s v="No"/>
    <s v="No"/>
    <n v="0"/>
    <n v="0"/>
    <m/>
    <m/>
    <s v="Not Started"/>
    <s v="No"/>
    <s v="No"/>
    <s v="No"/>
    <n v="0"/>
    <n v="0"/>
    <m/>
    <m/>
    <s v="Not Started"/>
    <s v="No"/>
    <s v="No"/>
    <s v="No"/>
    <m/>
    <m/>
    <n v="0"/>
    <m/>
    <m/>
  </r>
  <r>
    <s v="ID.AM-08 Ex9"/>
    <x v="1"/>
    <s v="The organization's current cybersecurity risks are understood"/>
    <x v="14"/>
    <s v="Asset Management (ID.AM)"/>
    <s v="Assets (e.g., data, hardware, software, systems, facilities, services, people) that enable the organization to achieve business purposes are identified and managed consistent with their relative importance to organizational objectives and the organization's risk strategy"/>
    <s v="ID.AM-08"/>
    <s v="Systems, hardware, software, services, and data are managed throughout their life cycles"/>
    <s v="Ex9: Offer methods for destroying paper, storage media, and other physical forms of data storage"/>
    <s v="CM-09,CM-13,MA-02,MA-06,PL-02,PM-22,PM-23,SA-03,SA-04,SA-08,SA-22,SI-12,SI-18,SR-05,SR-12"/>
    <x v="1"/>
    <m/>
    <m/>
    <m/>
    <s v="CM-09,CM-13,MA-02,MA-06,PL-02,PM-22,PM-23,SA-03,SA-04,SA-08,SA-22,SI-12,SI-18,SR-05,SR-12"/>
    <m/>
    <n v="0"/>
    <n v="0"/>
    <m/>
    <m/>
    <s v="Not Started"/>
    <s v="No"/>
    <s v="No"/>
    <s v="No"/>
    <n v="0"/>
    <n v="0"/>
    <m/>
    <m/>
    <s v="Not Started"/>
    <s v="No"/>
    <s v="No"/>
    <s v="No"/>
    <n v="0"/>
    <n v="0"/>
    <m/>
    <m/>
    <s v="Not Started"/>
    <s v="No"/>
    <s v="No"/>
    <s v="No"/>
    <n v="0"/>
    <n v="0"/>
    <m/>
    <m/>
    <s v="Not Started"/>
    <s v="No"/>
    <s v="No"/>
    <s v="No"/>
    <m/>
    <m/>
    <n v="0"/>
    <m/>
    <m/>
  </r>
  <r>
    <s v="ID.IM-01 Ex2"/>
    <x v="1"/>
    <s v="The organization's current cybersecurity risks are understood"/>
    <x v="15"/>
    <s v="Improvement (ID.IM)"/>
    <s v="Improvements to organizational cybersecurity risk management processes, procedures and activities are identified across all CSF Functions"/>
    <s v="ID.IM-01"/>
    <s v="Improvements are identified from evaluations"/>
    <s v="Ex2: Invest in third-party assessments or independent audits of the effectiveness of the organization's cybersecurity program to identify areas that need improvement"/>
    <s v="AC-01,AT-01,AU-01,CA-01,CA-02,CA-05,CA-07,CA-08,CM-01,CP-01,CP-02,IA-01,IR-01,IR-04,IR-08,MA-01,MP-01,PE-01,PL-01,PL-02,PM-01,PS-01,PT-01,RA-01,RA-03,RA-05,RA-07,SA-01,SA-08,SA-11,SA-17(06),SC-01,SI-01,SI-02,SI-04,SR-01,SR-05"/>
    <x v="1"/>
    <m/>
    <m/>
    <m/>
    <s v="AC-01,AT-01,AU-01,CA-01,CA-02,CA-05,CA-07,CA-08,CM-01,CP-01,CP-02,IA-01,IR-01,IR-04,IR-08,MA-01,MP-01,PE-01,PL-01,PL-02,PM-01,PS-01,PT-01,RA-01,RA-03,RA-05,RA-07,SA-01,SA-08,SA-11,SA-17(06),SC-01,SI-01,SI-02,SI-04,SR-01,SR-05"/>
    <m/>
    <n v="0"/>
    <n v="0"/>
    <m/>
    <m/>
    <s v="Not Started"/>
    <s v="No"/>
    <s v="No"/>
    <s v="No"/>
    <n v="0"/>
    <n v="0"/>
    <m/>
    <m/>
    <s v="Not Started"/>
    <s v="No"/>
    <s v="No"/>
    <s v="No"/>
    <n v="0"/>
    <n v="0"/>
    <m/>
    <m/>
    <s v="Not Started"/>
    <s v="No"/>
    <s v="No"/>
    <s v="No"/>
    <n v="0"/>
    <n v="0"/>
    <m/>
    <m/>
    <s v="Not Started"/>
    <s v="No"/>
    <s v="No"/>
    <s v="No"/>
    <m/>
    <m/>
    <n v="0"/>
    <m/>
    <m/>
  </r>
  <r>
    <s v="ID.IM-01 Ex3"/>
    <x v="1"/>
    <s v="The organization's current cybersecurity risks are understood"/>
    <x v="15"/>
    <s v="Improvement (ID.IM)"/>
    <s v="Improvements to organizational cybersecurity risk management processes, procedures and activities are identified across all CSF Functions"/>
    <s v="ID.IM-01"/>
    <s v="Improvements are identified from evaluations"/>
    <s v="Ex3: Constantly evaluate compliance with selected cybersecurity requirements through automated means"/>
    <s v="AC-01,AT-01,AU-01,CA-01,CA-02,CA-05,CA-07,CA-08,CM-01,CP-01,CP-02,IA-01,IR-01,IR-04,IR-08,MA-01,MP-01,PE-01,PL-01,PL-02,PM-01,PS-01,PT-01,RA-01,RA-03,RA-05,RA-07,SA-01,SA-08,SA-11,SA-17(06),SC-01,SI-01,SI-02,SI-04,SR-01,SR-05"/>
    <x v="1"/>
    <m/>
    <m/>
    <m/>
    <s v="AC-01,AT-01,AU-01,CA-01,CA-02,CA-05,CA-07,CA-08,CM-01,CP-01,CP-02,IA-01,IR-01,IR-04,IR-08,MA-01,MP-01,PE-01,PL-01,PL-02,PM-01,PS-01,PT-01,RA-01,RA-03,RA-05,RA-07,SA-01,SA-08,SA-11,SA-17(06),SC-01,SI-01,SI-02,SI-04,SR-01,SR-05"/>
    <m/>
    <n v="0"/>
    <n v="0"/>
    <m/>
    <m/>
    <s v="Not Started"/>
    <s v="No"/>
    <s v="No"/>
    <s v="No"/>
    <n v="0"/>
    <n v="0"/>
    <m/>
    <m/>
    <s v="Not Started"/>
    <s v="No"/>
    <s v="No"/>
    <s v="No"/>
    <n v="0"/>
    <n v="0"/>
    <m/>
    <m/>
    <s v="Not Started"/>
    <s v="No"/>
    <s v="No"/>
    <s v="No"/>
    <n v="0"/>
    <n v="0"/>
    <m/>
    <m/>
    <s v="Not Started"/>
    <s v="No"/>
    <s v="No"/>
    <s v="No"/>
    <m/>
    <m/>
    <n v="0"/>
    <m/>
    <m/>
  </r>
  <r>
    <s v="ID.IM-02 Ex1"/>
    <x v="1"/>
    <s v="The organization's current cybersecurity risks are understood"/>
    <x v="15"/>
    <s v="Improvement (ID.IM)"/>
    <s v="Improvements to organizational cybersecurity risk management processes, procedures and activities are identified across all CSF Functions"/>
    <s v="ID.IM-02"/>
    <s v="Improvements are identified from security tests and exercises, including those done in coordination with suppliers and relevant third parties"/>
    <s v="Ex1: Identify improvements for future incident response activities based on findings from incident response assessments (e.g., tabletop exercises and simulations, tests, internal reviews, independent audits)"/>
    <s v="AC-01,AT-01,AU-01,CA-01,CA-02,CA-05,CA-07,CA-08,CM-01,CP-01,CP-02,CP-04,IA-01,IR-01,IR-03,IR-04,IR-08,MA-01,MP-01,PE-01,PL-01,PL-02,PM-01,PM-04,PM-31,PS-01,PT-01,RA-01,RA-03,RA-05,RA-07,SA-01,SA-08,SA-11,SC-01,SI-01,SI-02,SI-04,SR-01,SR-05"/>
    <x v="1"/>
    <m/>
    <m/>
    <m/>
    <s v="AC-01,AT-01,AU-01,CA-01,CA-02,CA-05,CA-07,CA-08,CM-01,CP-01,CP-02,CP-04,IA-01,IR-01,IR-03,IR-04,IR-08,MA-01,MP-01,PE-01,PL-01,PL-02,PM-01,PM-04,PM-31,PS-01,PT-01,RA-01,RA-03,RA-05,RA-07,SA-01,SA-08,SA-11,SC-01,SI-01,SI-02,SI-04,SR-01,SR-05"/>
    <m/>
    <n v="0"/>
    <n v="0"/>
    <m/>
    <m/>
    <s v="Not Started"/>
    <s v="No"/>
    <s v="No"/>
    <s v="No"/>
    <n v="0"/>
    <n v="0"/>
    <m/>
    <m/>
    <s v="Not Started"/>
    <s v="No"/>
    <s v="No"/>
    <s v="No"/>
    <n v="0"/>
    <n v="0"/>
    <m/>
    <m/>
    <s v="Not Started"/>
    <s v="No"/>
    <s v="No"/>
    <s v="No"/>
    <n v="0"/>
    <n v="0"/>
    <m/>
    <m/>
    <s v="Not Started"/>
    <s v="No"/>
    <s v="No"/>
    <s v="No"/>
    <m/>
    <m/>
    <n v="0"/>
    <m/>
    <m/>
  </r>
  <r>
    <s v="ID.IM-02 Ex2"/>
    <x v="1"/>
    <s v="The organization's current cybersecurity risks are understood"/>
    <x v="15"/>
    <s v="Improvement (ID.IM)"/>
    <s v="Improvements to organizational cybersecurity risk management processes, procedures and activities are identified across all CSF Functions"/>
    <s v="ID.IM-02"/>
    <s v="Improvements are identified from security tests and exercises, including those done in coordination with suppliers and relevant third parties"/>
    <s v="Ex2: Identify improvements for future business continuity, disaster recovery, and incident response activities based on exercises performed in coordination with critical service providers and product suppliers"/>
    <s v="AC-01,AT-01,AU-01,CA-01,CA-02,CA-05,CA-07,CA-08,CM-01,CP-01,CP-02,CP-04,IA-01,IR-01,IR-03,IR-04,IR-08,MA-01,MP-01,PE-01,PL-01,PL-02,PM-01,PM-04,PM-31,PS-01,PT-01,RA-01,RA-03,RA-05,RA-07,SA-01,SA-08,SA-11,SC-01,SI-01,SI-02,SI-04,SR-01,SR-05"/>
    <x v="1"/>
    <m/>
    <m/>
    <m/>
    <s v="AC-01,AT-01,AU-01,CA-01,CA-02,CA-05,CA-07,CA-08,CM-01,CP-01,CP-02,CP-04,IA-01,IR-01,IR-03,IR-04,IR-08,MA-01,MP-01,PE-01,PL-01,PL-02,PM-01,PM-04,PM-31,PS-01,PT-01,RA-01,RA-03,RA-05,RA-07,SA-01,SA-08,SA-11,SC-01,SI-01,SI-02,SI-04,SR-01,SR-05"/>
    <m/>
    <n v="0"/>
    <n v="0"/>
    <m/>
    <m/>
    <s v="Not Started"/>
    <s v="No"/>
    <s v="No"/>
    <s v="No"/>
    <n v="0"/>
    <n v="0"/>
    <m/>
    <m/>
    <s v="Not Started"/>
    <s v="No"/>
    <s v="No"/>
    <s v="No"/>
    <n v="0"/>
    <n v="0"/>
    <m/>
    <m/>
    <s v="Not Started"/>
    <s v="No"/>
    <s v="No"/>
    <s v="No"/>
    <n v="0"/>
    <n v="0"/>
    <m/>
    <m/>
    <s v="Not Started"/>
    <s v="No"/>
    <s v="No"/>
    <s v="No"/>
    <m/>
    <m/>
    <n v="0"/>
    <m/>
    <m/>
  </r>
  <r>
    <s v="ID.IM-02 Ex3"/>
    <x v="1"/>
    <s v="The organization's current cybersecurity risks are understood"/>
    <x v="15"/>
    <s v="Improvement (ID.IM)"/>
    <s v="Improvements to organizational cybersecurity risk management processes, procedures and activities are identified across all CSF Functions"/>
    <s v="ID.IM-02"/>
    <s v="Improvements are identified from security tests and exercises, including those done in coordination with suppliers and relevant third parties"/>
    <s v="Ex3: Involve internal stakeholders (e.g., senior executives, legal department, HR) in security tests and exercises as appropriate"/>
    <s v="AC-01,AT-01,AU-01,CA-01,CA-02,CA-05,CA-07,CA-08,CM-01,CP-01,CP-02,CP-04,IA-01,IR-01,IR-03,IR-04,IR-08,MA-01,MP-01,PE-01,PL-01,PL-02,PM-01,PM-04,PM-31,PS-01,PT-01,RA-01,RA-03,RA-05,RA-07,SA-01,SA-08,SA-11,SC-01,SI-01,SI-02,SI-04,SR-01,SR-05"/>
    <x v="1"/>
    <m/>
    <m/>
    <m/>
    <s v="AC-01,AT-01,AU-01,CA-01,CA-02,CA-05,CA-07,CA-08,CM-01,CP-01,CP-02,CP-04,IA-01,IR-01,IR-03,IR-04,IR-08,MA-01,MP-01,PE-01,PL-01,PL-02,PM-01,PM-04,PM-31,PS-01,PT-01,RA-01,RA-03,RA-05,RA-07,SA-01,SA-08,SA-11,SC-01,SI-01,SI-02,SI-04,SR-01,SR-05"/>
    <m/>
    <n v="0"/>
    <n v="0"/>
    <m/>
    <m/>
    <s v="Not Started"/>
    <s v="No"/>
    <s v="No"/>
    <s v="No"/>
    <n v="0"/>
    <n v="0"/>
    <m/>
    <m/>
    <s v="Not Started"/>
    <s v="No"/>
    <s v="No"/>
    <s v="No"/>
    <n v="0"/>
    <n v="0"/>
    <m/>
    <m/>
    <s v="Not Started"/>
    <s v="No"/>
    <s v="No"/>
    <s v="No"/>
    <n v="0"/>
    <n v="0"/>
    <m/>
    <m/>
    <s v="Not Started"/>
    <s v="No"/>
    <s v="No"/>
    <s v="No"/>
    <m/>
    <m/>
    <n v="0"/>
    <m/>
    <m/>
  </r>
  <r>
    <s v="ID.IM-02 Ex4"/>
    <x v="1"/>
    <s v="The organization's current cybersecurity risks are understood"/>
    <x v="15"/>
    <s v="Improvement (ID.IM)"/>
    <s v="Improvements to organizational cybersecurity risk management processes, procedures and activities are identified across all CSF Functions"/>
    <s v="ID.IM-02"/>
    <s v="Improvements are identified from security tests and exercises, including those done in coordination with suppliers and relevant third parties"/>
    <s v="Ex4: Perform penetration testing to identify opportunities to improve the security posture of selected high-risk systems as approved by leadership"/>
    <s v="AC-01,AT-01,AU-01,CA-01,CA-02,CA-05,CA-07,CA-08,CM-01,CP-01,CP-02,CP-04,IA-01,IR-01,IR-03,IR-04,IR-08,MA-01,MP-01,PE-01,PL-01,PL-02,PM-01,PM-04,PM-31,PS-01,PT-01,RA-01,RA-03,RA-05,RA-07,SA-01,SA-08,SA-11,SC-01,SI-01,SI-02,SI-04,SR-01,SR-05"/>
    <x v="1"/>
    <m/>
    <m/>
    <m/>
    <s v="AC-01,AT-01,AU-01,CA-01,CA-02,CA-05,CA-07,CA-08,CM-01,CP-01,CP-02,CP-04,IA-01,IR-01,IR-03,IR-04,IR-08,MA-01,MP-01,PE-01,PL-01,PL-02,PM-01,PM-04,PM-31,PS-01,PT-01,RA-01,RA-03,RA-05,RA-07,SA-01,SA-08,SA-11,SC-01,SI-01,SI-02,SI-04,SR-01,SR-05"/>
    <m/>
    <n v="0"/>
    <n v="0"/>
    <m/>
    <m/>
    <s v="Not Started"/>
    <s v="No"/>
    <s v="No"/>
    <s v="No"/>
    <n v="0"/>
    <n v="0"/>
    <m/>
    <m/>
    <s v="Not Started"/>
    <s v="No"/>
    <s v="No"/>
    <s v="No"/>
    <n v="0"/>
    <n v="0"/>
    <m/>
    <m/>
    <s v="Not Started"/>
    <s v="No"/>
    <s v="No"/>
    <s v="No"/>
    <n v="0"/>
    <n v="0"/>
    <m/>
    <m/>
    <s v="Not Started"/>
    <s v="No"/>
    <s v="No"/>
    <s v="No"/>
    <m/>
    <m/>
    <n v="0"/>
    <m/>
    <m/>
  </r>
  <r>
    <s v="ID.IM-02 Ex5"/>
    <x v="1"/>
    <s v="The organization's current cybersecurity risks are understood"/>
    <x v="15"/>
    <s v="Improvement (ID.IM)"/>
    <s v="Improvements to organizational cybersecurity risk management processes, procedures and activities are identified across all CSF Functions"/>
    <s v="ID.IM-02"/>
    <s v="Improvements are identified from security tests and exercises, including those done in coordination with suppliers and relevant third parties"/>
    <s v="Ex5: Exercise contingency plans for responding to and recovering from the discovery that products or services did not originate with the contracted supplier or partner or were altered before receipt"/>
    <s v="AC-01,AT-01,AU-01,CA-01,CA-02,CA-05,CA-07,CA-08,CM-01,CP-01,CP-02,CP-04,IA-01,IR-01,IR-03,IR-04,IR-08,MA-01,MP-01,PE-01,PL-01,PL-02,PM-01,PM-04,PM-31,PS-01,PT-01,RA-01,RA-03,RA-05,RA-07,SA-01,SA-08,SA-11,SC-01,SI-01,SI-02,SI-04,SR-01,SR-05"/>
    <x v="1"/>
    <m/>
    <m/>
    <m/>
    <s v="AC-01,AT-01,AU-01,CA-01,CA-02,CA-05,CA-07,CA-08,CM-01,CP-01,CP-02,CP-04,IA-01,IR-01,IR-03,IR-04,IR-08,MA-01,MP-01,PE-01,PL-01,PL-02,PM-01,PM-04,PM-31,PS-01,PT-01,RA-01,RA-03,RA-05,RA-07,SA-01,SA-08,SA-11,SC-01,SI-01,SI-02,SI-04,SR-01,SR-05"/>
    <m/>
    <n v="0"/>
    <n v="0"/>
    <m/>
    <m/>
    <s v="Not Started"/>
    <s v="No"/>
    <s v="No"/>
    <s v="No"/>
    <n v="0"/>
    <n v="0"/>
    <m/>
    <m/>
    <s v="Not Started"/>
    <s v="No"/>
    <s v="No"/>
    <s v="No"/>
    <n v="0"/>
    <n v="0"/>
    <m/>
    <m/>
    <s v="Not Started"/>
    <s v="No"/>
    <s v="No"/>
    <s v="No"/>
    <n v="0"/>
    <n v="0"/>
    <m/>
    <m/>
    <s v="Not Started"/>
    <s v="No"/>
    <s v="No"/>
    <s v="No"/>
    <m/>
    <m/>
    <n v="0"/>
    <m/>
    <m/>
  </r>
  <r>
    <s v="ID.IM-02 Ex6"/>
    <x v="1"/>
    <s v="The organization's current cybersecurity risks are understood"/>
    <x v="15"/>
    <s v="Improvement (ID.IM)"/>
    <s v="Improvements to organizational cybersecurity risk management processes, procedures and activities are identified across all CSF Functions"/>
    <s v="ID.IM-02"/>
    <s v="Improvements are identified from security tests and exercises, including those done in coordination with suppliers and relevant third parties"/>
    <s v="Ex6: Collect and analyze performance metrics using security tools and services to inform improvements to the cybersecurity program"/>
    <s v="AC-01,AT-01,AU-01,CA-01,CA-02,CA-05,CA-07,CA-08,CM-01,CP-01,CP-02,CP-04,IA-01,IR-01,IR-03,IR-04,IR-08,MA-01,MP-01,PE-01,PL-01,PL-02,PM-01,PM-04,PM-31,PS-01,PT-01,RA-01,RA-03,RA-05,RA-07,SA-01,SA-08,SA-11,SC-01,SI-01,SI-02,SI-04,SR-01,SR-05"/>
    <x v="1"/>
    <m/>
    <m/>
    <m/>
    <s v="AC-01,AT-01,AU-01,CA-01,CA-02,CA-05,CA-07,CA-08,CM-01,CP-01,CP-02,CP-04,IA-01,IR-01,IR-03,IR-04,IR-08,MA-01,MP-01,PE-01,PL-01,PL-02,PM-01,PM-04,PM-31,PS-01,PT-01,RA-01,RA-03,RA-05,RA-07,SA-01,SA-08,SA-11,SC-01,SI-01,SI-02,SI-04,SR-01,SR-05"/>
    <m/>
    <n v="0"/>
    <n v="0"/>
    <m/>
    <m/>
    <s v="Not Started"/>
    <s v="No"/>
    <s v="No"/>
    <s v="No"/>
    <n v="0"/>
    <n v="0"/>
    <m/>
    <m/>
    <s v="Not Started"/>
    <s v="No"/>
    <s v="No"/>
    <s v="No"/>
    <n v="0"/>
    <n v="0"/>
    <m/>
    <m/>
    <s v="Not Started"/>
    <s v="No"/>
    <s v="No"/>
    <s v="No"/>
    <n v="0"/>
    <n v="0"/>
    <m/>
    <m/>
    <s v="Not Started"/>
    <s v="No"/>
    <s v="No"/>
    <s v="No"/>
    <m/>
    <m/>
    <n v="0"/>
    <m/>
    <m/>
  </r>
  <r>
    <s v="ID.IM-03 Ex1"/>
    <x v="1"/>
    <s v="The organization's current cybersecurity risks are understood"/>
    <x v="15"/>
    <s v="Improvement (ID.IM)"/>
    <s v="Improvements to organizational cybersecurity risk management processes, procedures and activities are identified across all CSF Functions"/>
    <s v="ID.IM-03"/>
    <s v="Improvements are identified from execution of operational processes, procedures, and activities"/>
    <s v="Ex1: Conduct collaborative lessons learned sessions with suppliers"/>
    <s v="AC-01,AT-01,AU-01,CA-01,CA-02,CA-05,CA-07,CA-08,CM-01,CP-01,CP-02,IA-01,IR-01,IR-04,IR-08,MA-01,MP-01,PE-01,PL-01,PL-02,PM-01,PM-04,PM-31,PS-01,PT-01,RA-01,RA-03,RA-05,RA-07,SA-01,SA-04,SA-08,SA-11,SC-01,SI-01,SI-02,SI-04,SR-01,SR-05"/>
    <x v="1"/>
    <m/>
    <m/>
    <m/>
    <s v="AC-01,AT-01,AU-01,CA-01,CA-02,CA-05,CA-07,CA-08,CM-01,CP-01,CP-02,IA-01,IR-01,IR-04,IR-08,MA-01,MP-01,PE-01,PL-01,PL-02,PM-01,PM-04,PM-31,PS-01,PT-01,RA-01,RA-03,RA-05,RA-07,SA-01,SA-04,SA-08,SA-11,SC-01,SI-01,SI-02,SI-04,SR-01,SR-05"/>
    <m/>
    <n v="0"/>
    <n v="0"/>
    <m/>
    <m/>
    <s v="Not Started"/>
    <s v="No"/>
    <s v="No"/>
    <s v="No"/>
    <n v="0"/>
    <n v="0"/>
    <m/>
    <m/>
    <s v="Not Started"/>
    <s v="No"/>
    <s v="No"/>
    <s v="No"/>
    <n v="0"/>
    <n v="0"/>
    <m/>
    <m/>
    <s v="Not Started"/>
    <s v="No"/>
    <s v="No"/>
    <s v="No"/>
    <n v="0"/>
    <n v="0"/>
    <m/>
    <m/>
    <s v="Not Started"/>
    <s v="No"/>
    <s v="No"/>
    <s v="No"/>
    <m/>
    <m/>
    <n v="0"/>
    <m/>
    <m/>
  </r>
  <r>
    <s v="ID.IM-03 Ex2"/>
    <x v="1"/>
    <s v="The organization's current cybersecurity risks are understood"/>
    <x v="15"/>
    <s v="Improvement (ID.IM)"/>
    <s v="Improvements to organizational cybersecurity risk management processes, procedures and activities are identified across all CSF Functions"/>
    <s v="ID.IM-03"/>
    <s v="Improvements are identified from execution of operational processes, procedures, and activities"/>
    <s v="Ex2: Annually review cybersecurity policies, processes, and procedures to take lessons learned into account"/>
    <s v="AC-01,AT-01,AU-01,CA-01,CA-02,CA-05,CA-07,CA-08,CM-01,CP-01,CP-02,IA-01,IR-01,IR-04,IR-08,MA-01,MP-01,PE-01,PL-01,PL-02,PM-01,PM-04,PM-31,PS-01,PT-01,RA-01,RA-03,RA-05,RA-07,SA-01,SA-04,SA-08,SA-11,SC-01,SI-01,SI-02,SI-04,SR-01,SR-05"/>
    <x v="1"/>
    <m/>
    <m/>
    <m/>
    <s v="AC-01,AT-01,AU-01,CA-01,CA-02,CA-05,CA-07,CA-08,CM-01,CP-01,CP-02,IA-01,IR-01,IR-04,IR-08,MA-01,MP-01,PE-01,PL-01,PL-02,PM-01,PM-04,PM-31,PS-01,PT-01,RA-01,RA-03,RA-05,RA-07,SA-01,SA-04,SA-08,SA-11,SC-01,SI-01,SI-02,SI-04,SR-01,SR-05"/>
    <m/>
    <n v="0"/>
    <n v="0"/>
    <m/>
    <m/>
    <s v="Not Started"/>
    <s v="No"/>
    <s v="No"/>
    <s v="No"/>
    <n v="0"/>
    <n v="0"/>
    <m/>
    <m/>
    <s v="Not Started"/>
    <s v="No"/>
    <s v="No"/>
    <s v="No"/>
    <n v="0"/>
    <n v="0"/>
    <m/>
    <m/>
    <s v="Not Started"/>
    <s v="No"/>
    <s v="No"/>
    <s v="No"/>
    <n v="0"/>
    <n v="0"/>
    <m/>
    <m/>
    <s v="Not Started"/>
    <s v="No"/>
    <s v="No"/>
    <s v="No"/>
    <m/>
    <m/>
    <n v="0"/>
    <m/>
    <m/>
  </r>
  <r>
    <s v="ID.IM-03 Ex3"/>
    <x v="1"/>
    <s v="The organization's current cybersecurity risks are understood"/>
    <x v="15"/>
    <s v="Improvement (ID.IM)"/>
    <s v="Improvements to organizational cybersecurity risk management processes, procedures and activities are identified across all CSF Functions"/>
    <s v="ID.IM-03"/>
    <s v="Improvements are identified from execution of operational processes, procedures, and activities"/>
    <s v="Ex3: Use metrics to assess operational cybersecurity performance over time"/>
    <s v="AC-01,AT-01,AU-01,CA-01,CA-02,CA-05,CA-07,CA-08,CM-01,CP-01,CP-02,IA-01,IR-01,IR-04,IR-08,MA-01,MP-01,PE-01,PL-01,PL-02,PM-01,PM-04,PM-31,PS-01,PT-01,RA-01,RA-03,RA-05,RA-07,SA-01,SA-04,SA-08,SA-11,SC-01,SI-01,SI-02,SI-04,SR-01,SR-05"/>
    <x v="1"/>
    <m/>
    <m/>
    <m/>
    <s v="AC-01,AT-01,AU-01,CA-01,CA-02,CA-05,CA-07,CA-08,CM-01,CP-01,CP-02,IA-01,IR-01,IR-04,IR-08,MA-01,MP-01,PE-01,PL-01,PL-02,PM-01,PM-04,PM-31,PS-01,PT-01,RA-01,RA-03,RA-05,RA-07,SA-01,SA-04,SA-08,SA-11,SC-01,SI-01,SI-02,SI-04,SR-01,SR-05"/>
    <m/>
    <n v="0"/>
    <n v="0"/>
    <m/>
    <m/>
    <s v="Not Started"/>
    <s v="No"/>
    <s v="No"/>
    <s v="No"/>
    <n v="0"/>
    <n v="0"/>
    <m/>
    <m/>
    <s v="Not Started"/>
    <s v="No"/>
    <s v="No"/>
    <s v="No"/>
    <n v="0"/>
    <n v="0"/>
    <m/>
    <m/>
    <s v="Not Started"/>
    <s v="No"/>
    <s v="No"/>
    <s v="No"/>
    <n v="0"/>
    <n v="0"/>
    <m/>
    <m/>
    <s v="Not Started"/>
    <s v="No"/>
    <s v="No"/>
    <s v="No"/>
    <m/>
    <m/>
    <n v="0"/>
    <m/>
    <m/>
  </r>
  <r>
    <s v="ID.IM-04 Ex1"/>
    <x v="1"/>
    <s v="The organization's current cybersecurity risks are understood"/>
    <x v="15"/>
    <s v="Improvement (ID.IM)"/>
    <s v="Improvements to organizational cybersecurity risk management processes, procedures and activities are identified across all CSF Functions"/>
    <s v="ID.IM-04"/>
    <s v="Incident response plans and other cybersecurity plans that affect operations are established, communicated, maintained, and improved"/>
    <s v="Ex1: Establish contingency plans (e.g., incident response, business continuity, disaster recovery) for responding to and recovering from adverse events that can interfere with operations, expose confidential information, or otherwise endanger the organization's mission and viability"/>
    <s v="CP-02,IR-08,PL-02,SR-02"/>
    <x v="1"/>
    <m/>
    <m/>
    <m/>
    <s v="CP-02,IR-08,PL-02,SR-02"/>
    <m/>
    <n v="0"/>
    <n v="0"/>
    <m/>
    <m/>
    <s v="Not Started"/>
    <s v="No"/>
    <s v="No"/>
    <s v="No"/>
    <n v="0"/>
    <n v="0"/>
    <m/>
    <m/>
    <s v="Not Started"/>
    <s v="No"/>
    <s v="No"/>
    <s v="No"/>
    <n v="0"/>
    <n v="0"/>
    <m/>
    <m/>
    <s v="Not Started"/>
    <s v="No"/>
    <s v="No"/>
    <s v="No"/>
    <n v="0"/>
    <n v="0"/>
    <m/>
    <m/>
    <s v="Not Started"/>
    <s v="No"/>
    <s v="No"/>
    <s v="No"/>
    <m/>
    <m/>
    <n v="0"/>
    <m/>
    <m/>
  </r>
  <r>
    <s v="ID.IM-04 Ex2"/>
    <x v="1"/>
    <s v="The organization's current cybersecurity risks are understood"/>
    <x v="15"/>
    <s v="Improvement (ID.IM)"/>
    <s v="Improvements to organizational cybersecurity risk management processes, procedures and activities are identified across all CSF Functions"/>
    <s v="ID.IM-04"/>
    <s v="Incident response plans and other cybersecurity plans that affect operations are established, communicated, maintained, and improved"/>
    <s v="Ex2: Include contact and communication information, processes for handling common scenarios, and criteria for prioritization, escalation, and elevation in all contingency plans"/>
    <s v="CP-02,IR-08,PL-02,SR-02"/>
    <x v="1"/>
    <m/>
    <m/>
    <m/>
    <s v="CP-02,IR-08,PL-02,SR-02"/>
    <m/>
    <n v="0"/>
    <n v="0"/>
    <m/>
    <m/>
    <s v="Not Started"/>
    <s v="No"/>
    <s v="No"/>
    <s v="No"/>
    <n v="0"/>
    <n v="0"/>
    <m/>
    <m/>
    <s v="Not Started"/>
    <s v="No"/>
    <s v="No"/>
    <s v="No"/>
    <n v="0"/>
    <n v="0"/>
    <m/>
    <m/>
    <s v="Not Started"/>
    <s v="No"/>
    <s v="No"/>
    <s v="No"/>
    <n v="0"/>
    <n v="0"/>
    <m/>
    <m/>
    <s v="Not Started"/>
    <s v="No"/>
    <s v="No"/>
    <s v="No"/>
    <m/>
    <m/>
    <n v="0"/>
    <m/>
    <m/>
  </r>
  <r>
    <s v="ID.IM-04 Ex3"/>
    <x v="1"/>
    <s v="The organization's current cybersecurity risks are understood"/>
    <x v="15"/>
    <s v="Improvement (ID.IM)"/>
    <s v="Improvements to organizational cybersecurity risk management processes, procedures and activities are identified across all CSF Functions"/>
    <s v="ID.IM-04"/>
    <s v="Incident response plans and other cybersecurity plans that affect operations are established, communicated, maintained, and improved"/>
    <s v="Ex3: Create a vulnerability management plan to identify and assess all types of vulnerabilities and to prioritize, test, and implement risk responses"/>
    <s v="CP-02,IR-08,PL-02,SR-02"/>
    <x v="1"/>
    <m/>
    <m/>
    <m/>
    <s v="CP-02,IR-08,PL-02,SR-02"/>
    <m/>
    <n v="0"/>
    <n v="0"/>
    <m/>
    <m/>
    <s v="Not Started"/>
    <s v="No"/>
    <s v="No"/>
    <s v="No"/>
    <n v="0"/>
    <n v="0"/>
    <m/>
    <m/>
    <s v="Not Started"/>
    <s v="No"/>
    <s v="No"/>
    <s v="No"/>
    <n v="0"/>
    <n v="0"/>
    <m/>
    <m/>
    <s v="Not Started"/>
    <s v="No"/>
    <s v="No"/>
    <s v="No"/>
    <n v="0"/>
    <n v="0"/>
    <m/>
    <m/>
    <s v="Not Started"/>
    <s v="No"/>
    <s v="No"/>
    <s v="No"/>
    <m/>
    <m/>
    <n v="0"/>
    <m/>
    <m/>
  </r>
  <r>
    <s v="ID.IM-04 Ex4"/>
    <x v="1"/>
    <s v="The organization's current cybersecurity risks are understood"/>
    <x v="15"/>
    <s v="Improvement (ID.IM)"/>
    <s v="Improvements to organizational cybersecurity risk management processes, procedures and activities are identified across all CSF Functions"/>
    <s v="ID.IM-04"/>
    <s v="Incident response plans and other cybersecurity plans that affect operations are established, communicated, maintained, and improved"/>
    <s v="Ex4: Communicate cybersecurity plans (including updates) to those responsible for carrying them out and to affected parties"/>
    <s v="CP-02,IR-08,PL-02,SR-02"/>
    <x v="1"/>
    <m/>
    <m/>
    <m/>
    <s v="CP-02,IR-08,PL-02,SR-02"/>
    <m/>
    <n v="0"/>
    <n v="0"/>
    <m/>
    <m/>
    <s v="Not Started"/>
    <s v="No"/>
    <s v="No"/>
    <s v="No"/>
    <n v="0"/>
    <n v="0"/>
    <m/>
    <m/>
    <s v="Not Started"/>
    <s v="No"/>
    <s v="No"/>
    <s v="No"/>
    <n v="0"/>
    <n v="0"/>
    <m/>
    <m/>
    <s v="Not Started"/>
    <s v="No"/>
    <s v="No"/>
    <s v="No"/>
    <n v="0"/>
    <n v="0"/>
    <m/>
    <m/>
    <s v="Not Started"/>
    <s v="No"/>
    <s v="No"/>
    <s v="No"/>
    <m/>
    <m/>
    <n v="0"/>
    <m/>
    <m/>
  </r>
  <r>
    <s v="ID.IM-04 Ex5"/>
    <x v="1"/>
    <s v="The organization's current cybersecurity risks are understood"/>
    <x v="15"/>
    <s v="Improvement (ID.IM)"/>
    <s v="Improvements to organizational cybersecurity risk management processes, procedures and activities are identified across all CSF Functions"/>
    <s v="ID.IM-04"/>
    <s v="Incident response plans and other cybersecurity plans that affect operations are established, communicated, maintained, and improved"/>
    <s v="Ex5: Review and update all cybersecurity plans annually or when a need for significant improvements is identified"/>
    <s v="CP-02,IR-08,PL-02,SR-02"/>
    <x v="1"/>
    <m/>
    <m/>
    <m/>
    <s v="CP-02,IR-08,PL-02,SR-02"/>
    <m/>
    <n v="0"/>
    <n v="0"/>
    <m/>
    <m/>
    <s v="Not Started"/>
    <s v="No"/>
    <s v="No"/>
    <s v="No"/>
    <n v="0"/>
    <n v="0"/>
    <m/>
    <m/>
    <s v="Not Started"/>
    <s v="No"/>
    <s v="No"/>
    <s v="No"/>
    <n v="0"/>
    <n v="0"/>
    <m/>
    <m/>
    <s v="Not Started"/>
    <s v="No"/>
    <s v="No"/>
    <s v="No"/>
    <n v="0"/>
    <n v="0"/>
    <m/>
    <m/>
    <s v="Not Started"/>
    <s v="No"/>
    <s v="No"/>
    <s v="No"/>
    <m/>
    <m/>
    <n v="0"/>
    <m/>
    <m/>
  </r>
  <r>
    <s v="ID.RA-01 Ex2"/>
    <x v="1"/>
    <s v="The organization's current cybersecurity risks are understood"/>
    <x v="5"/>
    <s v="Risk Assessment (ID.RA)"/>
    <s v="The cybersecurity risk to the organization, assets, and individuals is understood by the organization"/>
    <s v="ID.RA-01"/>
    <s v="Vulnerabilities in assets are identified, validated, and recorded"/>
    <s v="Ex2: Assess network and system architectures for design and implementation weaknesses that affect cybersecurity"/>
    <s v="CA-02,CA-07,CA-08,RA-03,RA-05,SA-11(02),SA-15(07),SA-15(08),SI-04,SI-05"/>
    <x v="1"/>
    <m/>
    <m/>
    <m/>
    <s v="CA-02,CA-07,CA-08,RA-03,RA-05,SA-11(02),SA-15(07),SA-15(08),SI-04,SI-05"/>
    <m/>
    <n v="0"/>
    <n v="0"/>
    <m/>
    <m/>
    <s v="Not Started"/>
    <s v="No"/>
    <s v="No"/>
    <s v="No"/>
    <n v="0"/>
    <n v="0"/>
    <m/>
    <m/>
    <s v="Not Started"/>
    <s v="No"/>
    <s v="No"/>
    <s v="No"/>
    <n v="0"/>
    <n v="0"/>
    <m/>
    <m/>
    <s v="Not Started"/>
    <s v="No"/>
    <s v="No"/>
    <s v="No"/>
    <n v="0"/>
    <n v="0"/>
    <m/>
    <m/>
    <s v="Not Started"/>
    <s v="No"/>
    <s v="No"/>
    <s v="No"/>
    <m/>
    <m/>
    <n v="0"/>
    <m/>
    <m/>
  </r>
  <r>
    <s v="ID.RA-01 Ex3"/>
    <x v="1"/>
    <s v="The organization's current cybersecurity risks are understood"/>
    <x v="5"/>
    <s v="Risk Assessment (ID.RA)"/>
    <s v="The cybersecurity risk to the organization, assets, and individuals is understood by the organization"/>
    <s v="ID.RA-01"/>
    <s v="Vulnerabilities in assets are identified, validated, and recorded"/>
    <s v="Ex3: Review, analyze, or test organization-developed software to identify design, coding, and default configuration vulnerabilities"/>
    <s v="CA-02,CA-07,CA-08,RA-03,RA-05,SA-11(02),SA-15(07),SA-15(08),SI-04,SI-05"/>
    <x v="1"/>
    <m/>
    <m/>
    <m/>
    <s v="CA-02,CA-07,CA-08,RA-03,RA-05,SA-11(02),SA-15(07),SA-15(08),SI-04,SI-05"/>
    <m/>
    <n v="0"/>
    <n v="0"/>
    <m/>
    <m/>
    <s v="Not Started"/>
    <s v="No"/>
    <s v="No"/>
    <s v="No"/>
    <n v="0"/>
    <n v="0"/>
    <m/>
    <m/>
    <s v="Not Started"/>
    <s v="No"/>
    <s v="No"/>
    <s v="No"/>
    <n v="0"/>
    <n v="0"/>
    <m/>
    <m/>
    <s v="Not Started"/>
    <s v="No"/>
    <s v="No"/>
    <s v="No"/>
    <n v="0"/>
    <n v="0"/>
    <m/>
    <m/>
    <s v="Not Started"/>
    <s v="No"/>
    <s v="No"/>
    <s v="No"/>
    <m/>
    <m/>
    <n v="0"/>
    <m/>
    <m/>
  </r>
  <r>
    <s v="ID.RA-01 Ex4"/>
    <x v="1"/>
    <s v="The organization's current cybersecurity risks are understood"/>
    <x v="5"/>
    <s v="Risk Assessment (ID.RA)"/>
    <s v="The cybersecurity risk to the organization, assets, and individuals is understood by the organization"/>
    <s v="ID.RA-01"/>
    <s v="Vulnerabilities in assets are identified, validated, and recorded"/>
    <s v="Ex4: Assess facilities that house critical computing assets for physical vulnerabilities and resilience issues"/>
    <s v="CA-02,CA-07,CA-08,RA-03,RA-05,SA-11(02),SA-15(07),SA-15(08),SI-04,SI-05"/>
    <x v="1"/>
    <m/>
    <m/>
    <m/>
    <s v="CA-02,CA-07,CA-08,RA-03,RA-05,SA-11(02),SA-15(07),SA-15(08),SI-04,SI-05"/>
    <m/>
    <n v="0"/>
    <n v="0"/>
    <m/>
    <m/>
    <s v="Not Started"/>
    <s v="No"/>
    <s v="No"/>
    <s v="No"/>
    <n v="0"/>
    <n v="0"/>
    <m/>
    <m/>
    <s v="Not Started"/>
    <s v="No"/>
    <s v="No"/>
    <s v="No"/>
    <n v="0"/>
    <n v="0"/>
    <m/>
    <m/>
    <s v="Not Started"/>
    <s v="No"/>
    <s v="No"/>
    <s v="No"/>
    <n v="0"/>
    <n v="0"/>
    <m/>
    <m/>
    <s v="Not Started"/>
    <s v="No"/>
    <s v="No"/>
    <s v="No"/>
    <m/>
    <m/>
    <n v="0"/>
    <m/>
    <m/>
  </r>
  <r>
    <s v="ID.RA-01 Ex5"/>
    <x v="1"/>
    <s v="The organization's current cybersecurity risks are understood"/>
    <x v="5"/>
    <s v="Risk Assessment (ID.RA)"/>
    <s v="The cybersecurity risk to the organization, assets, and individuals is understood by the organization"/>
    <s v="ID.RA-01"/>
    <s v="Vulnerabilities in assets are identified, validated, and recorded"/>
    <s v="Ex5: Monitor sources of cyber threat intelligence for information on new vulnerabilities in products and services"/>
    <s v="CA-02,CA-07,CA-08,RA-03,RA-05,SA-11(02),SA-15(07),SA-15(08),SI-04,SI-05"/>
    <x v="1"/>
    <m/>
    <m/>
    <m/>
    <s v="CA-02,CA-07,CA-08,RA-03,RA-05,SA-11(02),SA-15(07),SA-15(08),SI-04,SI-05"/>
    <m/>
    <n v="0"/>
    <n v="0"/>
    <m/>
    <m/>
    <s v="Not Started"/>
    <s v="No"/>
    <s v="No"/>
    <s v="No"/>
    <n v="0"/>
    <n v="0"/>
    <m/>
    <m/>
    <s v="Not Started"/>
    <s v="No"/>
    <s v="No"/>
    <s v="No"/>
    <n v="0"/>
    <n v="0"/>
    <m/>
    <m/>
    <s v="Not Started"/>
    <s v="No"/>
    <s v="No"/>
    <s v="No"/>
    <n v="0"/>
    <n v="0"/>
    <m/>
    <m/>
    <s v="Not Started"/>
    <s v="No"/>
    <s v="No"/>
    <s v="No"/>
    <m/>
    <m/>
    <n v="0"/>
    <m/>
    <m/>
  </r>
  <r>
    <s v="ID.RA-01 Ex6"/>
    <x v="1"/>
    <s v="The organization's current cybersecurity risks are understood"/>
    <x v="5"/>
    <s v="Risk Assessment (ID.RA)"/>
    <s v="The cybersecurity risk to the organization, assets, and individuals is understood by the organization"/>
    <s v="ID.RA-01"/>
    <s v="Vulnerabilities in assets are identified, validated, and recorded"/>
    <s v="Ex6: Review processes and procedures for weaknesses that could be exploited to affect cybersecurity"/>
    <s v="CA-02,CA-07,CA-08,RA-03,RA-05,SA-11(02),SA-15(07),SA-15(08),SI-04,SI-05"/>
    <x v="1"/>
    <m/>
    <m/>
    <m/>
    <s v="CA-02,CA-07,CA-08,RA-03,RA-05,SA-11(02),SA-15(07),SA-15(08),SI-04,SI-05"/>
    <m/>
    <n v="0"/>
    <n v="0"/>
    <m/>
    <m/>
    <s v="Not Started"/>
    <s v="No"/>
    <s v="No"/>
    <s v="No"/>
    <n v="0"/>
    <n v="0"/>
    <m/>
    <m/>
    <s v="Not Started"/>
    <s v="No"/>
    <s v="No"/>
    <s v="No"/>
    <n v="0"/>
    <n v="0"/>
    <m/>
    <m/>
    <s v="Not Started"/>
    <s v="No"/>
    <s v="No"/>
    <s v="No"/>
    <n v="0"/>
    <n v="0"/>
    <m/>
    <m/>
    <s v="Not Started"/>
    <s v="No"/>
    <s v="No"/>
    <s v="No"/>
    <m/>
    <m/>
    <n v="0"/>
    <m/>
    <m/>
  </r>
  <r>
    <s v="ID.RA-02 Ex1"/>
    <x v="1"/>
    <s v="The organization's current cybersecurity risks are understood"/>
    <x v="5"/>
    <s v="Risk Assessment (ID.RA)"/>
    <s v="The cybersecurity risk to the organization, assets, and individuals is understood by the organization"/>
    <s v="ID.RA-02"/>
    <s v="Cyber threat intelligence is received from information sharing forums and sources"/>
    <s v="Ex1: Configure cybersecurity tools and technologies with detection or response capabilities to securely ingest cyber threat intelligence feeds"/>
    <s v="PM-15,PM-16,SI-05"/>
    <x v="1"/>
    <m/>
    <m/>
    <m/>
    <s v="PM-15,PM-16,SI-05"/>
    <m/>
    <n v="0"/>
    <n v="0"/>
    <m/>
    <m/>
    <s v="Not Started"/>
    <s v="No"/>
    <s v="No"/>
    <s v="No"/>
    <n v="0"/>
    <n v="0"/>
    <m/>
    <m/>
    <s v="Not Started"/>
    <s v="No"/>
    <s v="No"/>
    <s v="No"/>
    <n v="0"/>
    <n v="0"/>
    <m/>
    <m/>
    <s v="Not Started"/>
    <s v="No"/>
    <s v="No"/>
    <s v="No"/>
    <n v="0"/>
    <n v="0"/>
    <m/>
    <m/>
    <s v="Not Started"/>
    <s v="No"/>
    <s v="No"/>
    <s v="No"/>
    <m/>
    <m/>
    <n v="0"/>
    <m/>
    <m/>
  </r>
  <r>
    <s v="ID.RA-02 Ex2"/>
    <x v="1"/>
    <s v="The organization's current cybersecurity risks are understood"/>
    <x v="5"/>
    <s v="Risk Assessment (ID.RA)"/>
    <s v="The cybersecurity risk to the organization, assets, and individuals is understood by the organization"/>
    <s v="ID.RA-02"/>
    <s v="Cyber threat intelligence is received from information sharing forums and sources"/>
    <s v="Ex2: Receive and review advisories from reputable third parties on current threat actors and their tactics, techniques, and procedures (TTPs)"/>
    <s v="PM-15,PM-16,SI-05"/>
    <x v="1"/>
    <m/>
    <m/>
    <m/>
    <s v="PM-15,PM-16,SI-05"/>
    <m/>
    <n v="0"/>
    <n v="0"/>
    <m/>
    <m/>
    <s v="Not Started"/>
    <s v="No"/>
    <s v="No"/>
    <s v="No"/>
    <n v="0"/>
    <n v="0"/>
    <m/>
    <m/>
    <s v="Not Started"/>
    <s v="No"/>
    <s v="No"/>
    <s v="No"/>
    <n v="0"/>
    <n v="0"/>
    <m/>
    <m/>
    <s v="Not Started"/>
    <s v="No"/>
    <s v="No"/>
    <s v="No"/>
    <n v="0"/>
    <n v="0"/>
    <m/>
    <m/>
    <s v="Not Started"/>
    <s v="No"/>
    <s v="No"/>
    <s v="No"/>
    <m/>
    <m/>
    <n v="0"/>
    <m/>
    <m/>
  </r>
  <r>
    <s v="ID.RA-02 Ex3"/>
    <x v="1"/>
    <s v="The organization's current cybersecurity risks are understood"/>
    <x v="5"/>
    <s v="Risk Assessment (ID.RA)"/>
    <s v="The cybersecurity risk to the organization, assets, and individuals is understood by the organization"/>
    <s v="ID.RA-02"/>
    <s v="Cyber threat intelligence is received from information sharing forums and sources"/>
    <s v="Ex3: Monitor sources of cyber threat intelligence for information on the types of vulnerabilities that emerging technologies may have"/>
    <s v="PM-15,PM-16,SI-05"/>
    <x v="1"/>
    <m/>
    <m/>
    <m/>
    <s v="PM-15,PM-16,SI-05"/>
    <m/>
    <n v="0"/>
    <n v="0"/>
    <m/>
    <m/>
    <s v="Not Started"/>
    <s v="No"/>
    <s v="No"/>
    <s v="No"/>
    <n v="0"/>
    <n v="0"/>
    <m/>
    <m/>
    <s v="Not Started"/>
    <s v="No"/>
    <s v="No"/>
    <s v="No"/>
    <n v="0"/>
    <n v="0"/>
    <m/>
    <m/>
    <s v="Not Started"/>
    <s v="No"/>
    <s v="No"/>
    <s v="No"/>
    <n v="0"/>
    <n v="0"/>
    <m/>
    <m/>
    <s v="Not Started"/>
    <s v="No"/>
    <s v="No"/>
    <s v="No"/>
    <m/>
    <m/>
    <n v="0"/>
    <m/>
    <m/>
  </r>
  <r>
    <s v="ID.RA-03 Ex1"/>
    <x v="1"/>
    <s v="The organization's current cybersecurity risks are understood"/>
    <x v="5"/>
    <s v="Risk Assessment (ID.RA)"/>
    <s v="The cybersecurity risk to the organization, assets, and individuals is understood by the organization"/>
    <s v="ID.RA-03"/>
    <s v="Internal and external threats to the organization are identified and recorded"/>
    <s v="Ex1: Use cyber threat intelligence to maintain awareness of the types of threat actors likely to target the organization and the TTPs they are likely to use"/>
    <s v="PM-12,PM-16,RA-03,SI-05"/>
    <x v="1"/>
    <m/>
    <m/>
    <m/>
    <s v="PM-12,PM-16,RA-03,SI-05"/>
    <m/>
    <n v="0"/>
    <n v="0"/>
    <m/>
    <m/>
    <s v="Not Started"/>
    <s v="No"/>
    <s v="No"/>
    <s v="No"/>
    <n v="0"/>
    <n v="0"/>
    <m/>
    <m/>
    <s v="Not Started"/>
    <s v="No"/>
    <s v="No"/>
    <s v="No"/>
    <n v="0"/>
    <n v="0"/>
    <m/>
    <m/>
    <s v="Not Started"/>
    <s v="No"/>
    <s v="No"/>
    <s v="No"/>
    <n v="0"/>
    <n v="0"/>
    <m/>
    <m/>
    <s v="Not Started"/>
    <s v="No"/>
    <s v="No"/>
    <s v="No"/>
    <m/>
    <m/>
    <n v="0"/>
    <m/>
    <m/>
  </r>
  <r>
    <s v="ID.RA-03 Ex2"/>
    <x v="1"/>
    <s v="The organization's current cybersecurity risks are understood"/>
    <x v="5"/>
    <s v="Risk Assessment (ID.RA)"/>
    <s v="The cybersecurity risk to the organization, assets, and individuals is understood by the organization"/>
    <s v="ID.RA-03"/>
    <s v="Internal and external threats to the organization are identified and recorded"/>
    <s v="Ex2: Perform threat hunting to look for signs of threat actors within the environment"/>
    <s v="PM-12,PM-16,RA-03,SI-05"/>
    <x v="1"/>
    <m/>
    <m/>
    <m/>
    <s v="PM-12,PM-16,RA-03,SI-05"/>
    <m/>
    <n v="0"/>
    <n v="0"/>
    <m/>
    <m/>
    <s v="Not Started"/>
    <s v="No"/>
    <s v="No"/>
    <s v="No"/>
    <n v="0"/>
    <n v="0"/>
    <m/>
    <m/>
    <s v="Not Started"/>
    <s v="No"/>
    <s v="No"/>
    <s v="No"/>
    <n v="0"/>
    <n v="0"/>
    <m/>
    <m/>
    <s v="Not Started"/>
    <s v="No"/>
    <s v="No"/>
    <s v="No"/>
    <n v="0"/>
    <n v="0"/>
    <m/>
    <m/>
    <s v="Not Started"/>
    <s v="No"/>
    <s v="No"/>
    <s v="No"/>
    <m/>
    <m/>
    <n v="0"/>
    <m/>
    <m/>
  </r>
  <r>
    <s v="ID.RA-03 Ex3"/>
    <x v="1"/>
    <s v="The organization's current cybersecurity risks are understood"/>
    <x v="5"/>
    <s v="Risk Assessment (ID.RA)"/>
    <s v="The cybersecurity risk to the organization, assets, and individuals is understood by the organization"/>
    <s v="ID.RA-03"/>
    <s v="Internal and external threats to the organization are identified and recorded"/>
    <s v="Ex3: Implement processes for identifying internal threat actors"/>
    <s v="PM-12,PM-16,RA-03,SI-05"/>
    <x v="1"/>
    <m/>
    <m/>
    <m/>
    <s v="PM-12,PM-16,RA-03,SI-05"/>
    <m/>
    <n v="0"/>
    <n v="0"/>
    <m/>
    <m/>
    <s v="Not Started"/>
    <s v="No"/>
    <s v="No"/>
    <s v="No"/>
    <n v="0"/>
    <n v="0"/>
    <m/>
    <m/>
    <s v="Not Started"/>
    <s v="No"/>
    <s v="No"/>
    <s v="No"/>
    <n v="0"/>
    <n v="0"/>
    <m/>
    <m/>
    <s v="Not Started"/>
    <s v="No"/>
    <s v="No"/>
    <s v="No"/>
    <n v="0"/>
    <n v="0"/>
    <m/>
    <m/>
    <s v="Not Started"/>
    <s v="No"/>
    <s v="No"/>
    <s v="No"/>
    <m/>
    <m/>
    <n v="0"/>
    <m/>
    <m/>
  </r>
  <r>
    <s v="ID.RA-04 Ex1"/>
    <x v="1"/>
    <s v="The organization's current cybersecurity risks are understood"/>
    <x v="5"/>
    <s v="Risk Assessment (ID.RA)"/>
    <s v="The cybersecurity risk to the organization, assets, and individuals is understood by the organization"/>
    <s v="ID.RA-04"/>
    <s v="Potential impacts and likelihoods of threats exploiting vulnerabilities are identified and recorded"/>
    <s v="Ex1: Business leaders and cybersecurity risk management practitioners work together to estimate the likelihood and impact of risk scenarios and record them in risk registers"/>
    <s v="PM-09,PM-11,RA-02,RA-03,RA-08,RA-09"/>
    <x v="1"/>
    <m/>
    <m/>
    <m/>
    <s v="PM-09,PM-11,RA-02,RA-03,RA-08,RA-09"/>
    <m/>
    <n v="0"/>
    <n v="0"/>
    <m/>
    <m/>
    <s v="Not Started"/>
    <s v="No"/>
    <s v="No"/>
    <s v="No"/>
    <n v="0"/>
    <n v="0"/>
    <m/>
    <m/>
    <s v="Not Started"/>
    <s v="No"/>
    <s v="No"/>
    <s v="No"/>
    <n v="0"/>
    <n v="0"/>
    <m/>
    <m/>
    <s v="Not Started"/>
    <s v="No"/>
    <s v="No"/>
    <s v="No"/>
    <n v="0"/>
    <n v="0"/>
    <m/>
    <m/>
    <s v="Not Started"/>
    <s v="No"/>
    <s v="No"/>
    <s v="No"/>
    <m/>
    <m/>
    <n v="0"/>
    <m/>
    <m/>
  </r>
  <r>
    <s v="ID.RA-04 Ex2"/>
    <x v="1"/>
    <s v="The organization's current cybersecurity risks are understood"/>
    <x v="5"/>
    <s v="Risk Assessment (ID.RA)"/>
    <s v="The cybersecurity risk to the organization, assets, and individuals is understood by the organization"/>
    <s v="ID.RA-04"/>
    <s v="Potential impacts and likelihoods of threats exploiting vulnerabilities are identified and recorded"/>
    <s v="Ex2: Enumerate the potential business impacts of unauthorized access to the organization's communications, systems, and data processed in or by those systems"/>
    <s v="PM-09,PM-11,RA-02,RA-03,RA-08,RA-09"/>
    <x v="1"/>
    <m/>
    <m/>
    <m/>
    <s v="PM-09,PM-11,RA-02,RA-03,RA-08,RA-09"/>
    <m/>
    <n v="0"/>
    <n v="0"/>
    <m/>
    <m/>
    <s v="Not Started"/>
    <s v="No"/>
    <s v="No"/>
    <s v="No"/>
    <n v="0"/>
    <n v="0"/>
    <m/>
    <m/>
    <s v="Not Started"/>
    <s v="No"/>
    <s v="No"/>
    <s v="No"/>
    <n v="0"/>
    <n v="0"/>
    <m/>
    <m/>
    <s v="Not Started"/>
    <s v="No"/>
    <s v="No"/>
    <s v="No"/>
    <n v="0"/>
    <n v="0"/>
    <m/>
    <m/>
    <s v="Not Started"/>
    <s v="No"/>
    <s v="No"/>
    <s v="No"/>
    <m/>
    <m/>
    <n v="0"/>
    <m/>
    <m/>
  </r>
  <r>
    <s v="ID.RA-04 Ex3"/>
    <x v="1"/>
    <s v="The organization's current cybersecurity risks are understood"/>
    <x v="5"/>
    <s v="Risk Assessment (ID.RA)"/>
    <s v="The cybersecurity risk to the organization, assets, and individuals is understood by the organization"/>
    <s v="ID.RA-04"/>
    <s v="Potential impacts and likelihoods of threats exploiting vulnerabilities are identified and recorded"/>
    <s v="Ex3: Account for the potential impacts of cascading failures for systems of systems"/>
    <s v="PM-09,PM-11,RA-02,RA-03,RA-08,RA-09"/>
    <x v="1"/>
    <m/>
    <m/>
    <m/>
    <s v="PM-09,PM-11,RA-02,RA-03,RA-08,RA-09"/>
    <m/>
    <n v="0"/>
    <n v="0"/>
    <m/>
    <m/>
    <s v="Not Started"/>
    <s v="No"/>
    <s v="No"/>
    <s v="No"/>
    <n v="0"/>
    <n v="0"/>
    <m/>
    <m/>
    <s v="Not Started"/>
    <s v="No"/>
    <s v="No"/>
    <s v="No"/>
    <n v="0"/>
    <n v="0"/>
    <m/>
    <m/>
    <s v="Not Started"/>
    <s v="No"/>
    <s v="No"/>
    <s v="No"/>
    <n v="0"/>
    <n v="0"/>
    <m/>
    <m/>
    <s v="Not Started"/>
    <s v="No"/>
    <s v="No"/>
    <s v="No"/>
    <m/>
    <m/>
    <n v="0"/>
    <m/>
    <m/>
  </r>
  <r>
    <s v="ID.RA-05 Ex1"/>
    <x v="1"/>
    <s v="The organization's current cybersecurity risks are understood"/>
    <x v="5"/>
    <s v="Risk Assessment (ID.RA)"/>
    <s v="The cybersecurity risk to the organization, assets, and individuals is understood by the organization"/>
    <s v="ID.RA-05"/>
    <s v="Threats, vulnerabilities, likelihoods, and impacts are used to understand inherent risk and inform risk response prioritization"/>
    <s v="Ex1: Develop threat models to better understand risks to the data and identify appropriate risk responses"/>
    <s v="PM-16,RA-02,RA-03,RA-07"/>
    <x v="1"/>
    <m/>
    <m/>
    <m/>
    <s v="PM-16,RA-02,RA-03,RA-07"/>
    <m/>
    <n v="0"/>
    <n v="0"/>
    <m/>
    <m/>
    <s v="Not Started"/>
    <s v="No"/>
    <s v="No"/>
    <s v="No"/>
    <n v="0"/>
    <n v="0"/>
    <m/>
    <m/>
    <s v="Not Started"/>
    <s v="No"/>
    <s v="No"/>
    <s v="No"/>
    <n v="0"/>
    <n v="0"/>
    <m/>
    <m/>
    <s v="Not Started"/>
    <s v="No"/>
    <s v="No"/>
    <s v="No"/>
    <n v="0"/>
    <n v="0"/>
    <m/>
    <m/>
    <s v="Not Started"/>
    <s v="No"/>
    <s v="No"/>
    <s v="No"/>
    <m/>
    <m/>
    <n v="0"/>
    <m/>
    <m/>
  </r>
  <r>
    <s v="ID.RA-05 Ex2"/>
    <x v="1"/>
    <s v="The organization's current cybersecurity risks are understood"/>
    <x v="5"/>
    <s v="Risk Assessment (ID.RA)"/>
    <s v="The cybersecurity risk to the organization, assets, and individuals is understood by the organization"/>
    <s v="ID.RA-05"/>
    <s v="Threats, vulnerabilities, likelihoods, and impacts are used to understand inherent risk and inform risk response prioritization"/>
    <s v="Ex2: Prioritize cybersecurity resource allocations and investments based on estimated likelihoods and impacts"/>
    <s v="PM-16,RA-02,RA-03,RA-07"/>
    <x v="1"/>
    <m/>
    <m/>
    <m/>
    <s v="PM-16,RA-02,RA-03,RA-07"/>
    <m/>
    <n v="0"/>
    <n v="0"/>
    <m/>
    <m/>
    <s v="Not Started"/>
    <s v="No"/>
    <s v="No"/>
    <s v="No"/>
    <n v="0"/>
    <n v="0"/>
    <m/>
    <m/>
    <s v="Not Started"/>
    <s v="No"/>
    <s v="No"/>
    <s v="No"/>
    <n v="0"/>
    <n v="0"/>
    <m/>
    <m/>
    <s v="Not Started"/>
    <s v="No"/>
    <s v="No"/>
    <s v="No"/>
    <n v="0"/>
    <n v="0"/>
    <m/>
    <m/>
    <s v="Not Started"/>
    <s v="No"/>
    <s v="No"/>
    <s v="No"/>
    <m/>
    <m/>
    <n v="0"/>
    <m/>
    <m/>
  </r>
  <r>
    <s v="ID.RA-06 Ex1"/>
    <x v="1"/>
    <s v="The organization's current cybersecurity risks are understood"/>
    <x v="5"/>
    <s v="Risk Assessment (ID.RA)"/>
    <s v="The cybersecurity risk to the organization, assets, and individuals is understood by the organization"/>
    <s v="ID.RA-06"/>
    <s v="Risk responses are chosen, prioritized, planned, tracked, and communicated"/>
    <s v="Ex1: Apply the vulnerability management plan's criteria for deciding whether to accept, transfer, mitigate, or avoid risk"/>
    <s v="PM-09,PM-18,PM-30,RA-07"/>
    <x v="1"/>
    <m/>
    <m/>
    <m/>
    <s v="PM-09,PM-18,PM-30,RA-07"/>
    <m/>
    <n v="0"/>
    <n v="0"/>
    <m/>
    <m/>
    <s v="Not Started"/>
    <s v="No"/>
    <s v="No"/>
    <s v="No"/>
    <n v="0"/>
    <n v="0"/>
    <m/>
    <m/>
    <s v="Not Started"/>
    <s v="No"/>
    <s v="No"/>
    <s v="No"/>
    <n v="0"/>
    <n v="0"/>
    <m/>
    <m/>
    <s v="Not Started"/>
    <s v="No"/>
    <s v="No"/>
    <s v="No"/>
    <n v="0"/>
    <n v="0"/>
    <m/>
    <m/>
    <s v="Not Started"/>
    <s v="No"/>
    <s v="No"/>
    <s v="No"/>
    <m/>
    <m/>
    <n v="0"/>
    <m/>
    <m/>
  </r>
  <r>
    <s v="ID.RA-06 Ex2"/>
    <x v="1"/>
    <s v="The organization's current cybersecurity risks are understood"/>
    <x v="5"/>
    <s v="Risk Assessment (ID.RA)"/>
    <s v="The cybersecurity risk to the organization, assets, and individuals is understood by the organization"/>
    <s v="ID.RA-06"/>
    <s v="Risk responses are chosen, prioritized, planned, tracked, and communicated"/>
    <s v="Ex2: Apply the vulnerability management plan's criteria for selecting compensating controls to mitigate risk"/>
    <s v="PM-09,PM-18,PM-30,RA-07"/>
    <x v="1"/>
    <m/>
    <m/>
    <m/>
    <s v="PM-09,PM-18,PM-30,RA-07"/>
    <m/>
    <n v="0"/>
    <n v="0"/>
    <m/>
    <m/>
    <s v="Not Started"/>
    <s v="No"/>
    <s v="No"/>
    <s v="No"/>
    <n v="0"/>
    <n v="0"/>
    <m/>
    <m/>
    <s v="Not Started"/>
    <s v="No"/>
    <s v="No"/>
    <s v="No"/>
    <n v="0"/>
    <n v="0"/>
    <m/>
    <m/>
    <s v="Not Started"/>
    <s v="No"/>
    <s v="No"/>
    <s v="No"/>
    <n v="0"/>
    <n v="0"/>
    <m/>
    <m/>
    <s v="Not Started"/>
    <s v="No"/>
    <s v="No"/>
    <s v="No"/>
    <m/>
    <m/>
    <n v="0"/>
    <m/>
    <m/>
  </r>
  <r>
    <s v="ID.RA-06 Ex3"/>
    <x v="1"/>
    <s v="The organization's current cybersecurity risks are understood"/>
    <x v="5"/>
    <s v="Risk Assessment (ID.RA)"/>
    <s v="The cybersecurity risk to the organization, assets, and individuals is understood by the organization"/>
    <s v="ID.RA-06"/>
    <s v="Risk responses are chosen, prioritized, planned, tracked, and communicated"/>
    <s v="Ex3: Track the progress of risk response implementation (e.g., plan of action and milestones [POA&amp;M], risk register, risk detail report)"/>
    <s v="PM-09,PM-18,PM-30,RA-07"/>
    <x v="1"/>
    <m/>
    <m/>
    <m/>
    <s v="PM-09,PM-18,PM-30,RA-07"/>
    <m/>
    <n v="0"/>
    <n v="0"/>
    <m/>
    <m/>
    <s v="Not Started"/>
    <s v="No"/>
    <s v="No"/>
    <s v="No"/>
    <n v="0"/>
    <n v="0"/>
    <m/>
    <m/>
    <s v="Not Started"/>
    <s v="No"/>
    <s v="No"/>
    <s v="No"/>
    <n v="0"/>
    <n v="0"/>
    <m/>
    <m/>
    <s v="Not Started"/>
    <s v="No"/>
    <s v="No"/>
    <s v="No"/>
    <n v="0"/>
    <n v="0"/>
    <m/>
    <m/>
    <s v="Not Started"/>
    <s v="No"/>
    <s v="No"/>
    <s v="No"/>
    <m/>
    <m/>
    <n v="0"/>
    <m/>
    <m/>
  </r>
  <r>
    <s v="ID.RA-06 Ex4"/>
    <x v="1"/>
    <s v="The organization's current cybersecurity risks are understood"/>
    <x v="5"/>
    <s v="Risk Assessment (ID.RA)"/>
    <s v="The cybersecurity risk to the organization, assets, and individuals is understood by the organization"/>
    <s v="ID.RA-06"/>
    <s v="Risk responses are chosen, prioritized, planned, tracked, and communicated"/>
    <s v="Ex4: Use risk assessment findings to inform risk response decisions and actions"/>
    <s v="PM-09,PM-18,PM-30,RA-07"/>
    <x v="1"/>
    <m/>
    <m/>
    <m/>
    <s v="PM-09,PM-18,PM-30,RA-07"/>
    <m/>
    <n v="0"/>
    <n v="0"/>
    <m/>
    <m/>
    <s v="Not Started"/>
    <s v="No"/>
    <s v="No"/>
    <s v="No"/>
    <n v="0"/>
    <n v="0"/>
    <m/>
    <m/>
    <s v="Not Started"/>
    <s v="No"/>
    <s v="No"/>
    <s v="No"/>
    <n v="0"/>
    <n v="0"/>
    <m/>
    <m/>
    <s v="Not Started"/>
    <s v="No"/>
    <s v="No"/>
    <s v="No"/>
    <n v="0"/>
    <n v="0"/>
    <m/>
    <m/>
    <s v="Not Started"/>
    <s v="No"/>
    <s v="No"/>
    <s v="No"/>
    <m/>
    <m/>
    <n v="0"/>
    <m/>
    <m/>
  </r>
  <r>
    <s v="ID.RA-06 Ex5"/>
    <x v="1"/>
    <s v="The organization's current cybersecurity risks are understood"/>
    <x v="5"/>
    <s v="Risk Assessment (ID.RA)"/>
    <s v="The cybersecurity risk to the organization, assets, and individuals is understood by the organization"/>
    <s v="ID.RA-06"/>
    <s v="Risk responses are chosen, prioritized, planned, tracked, and communicated"/>
    <s v="Ex5: Communicate planned risk responses to affected stakeholders in priority order"/>
    <s v="PM-09,PM-18,PM-30,RA-07"/>
    <x v="1"/>
    <m/>
    <m/>
    <m/>
    <s v="PM-09,PM-18,PM-30,RA-07"/>
    <m/>
    <n v="0"/>
    <n v="0"/>
    <m/>
    <m/>
    <s v="Not Started"/>
    <s v="No"/>
    <s v="No"/>
    <s v="No"/>
    <n v="0"/>
    <n v="0"/>
    <m/>
    <m/>
    <s v="Not Started"/>
    <s v="No"/>
    <s v="No"/>
    <s v="No"/>
    <n v="0"/>
    <n v="0"/>
    <m/>
    <m/>
    <s v="Not Started"/>
    <s v="No"/>
    <s v="No"/>
    <s v="No"/>
    <n v="0"/>
    <n v="0"/>
    <m/>
    <m/>
    <s v="Not Started"/>
    <s v="No"/>
    <s v="No"/>
    <s v="No"/>
    <m/>
    <m/>
    <n v="0"/>
    <m/>
    <m/>
  </r>
  <r>
    <s v="ID.RA-07 Ex2"/>
    <x v="1"/>
    <s v="The organization's current cybersecurity risks are understood"/>
    <x v="5"/>
    <s v="Risk Assessment (ID.RA)"/>
    <s v="The cybersecurity risk to the organization, assets, and individuals is understood by the organization"/>
    <s v="ID.RA-07"/>
    <s v="Changes and exceptions are managed, assessed for risk impact, recorded, and tracked"/>
    <s v="Ex2: Document the possible risks of making or not making each proposed change, and provide guidance on rolling back changes"/>
    <s v="CA-07,CM-03,CM-04"/>
    <x v="1"/>
    <m/>
    <m/>
    <m/>
    <s v="CA-07,CM-03,CM-04"/>
    <m/>
    <n v="0"/>
    <n v="0"/>
    <m/>
    <m/>
    <s v="Not Started"/>
    <s v="No"/>
    <s v="No"/>
    <s v="No"/>
    <n v="0"/>
    <n v="0"/>
    <m/>
    <m/>
    <s v="Not Started"/>
    <s v="No"/>
    <s v="No"/>
    <s v="No"/>
    <n v="0"/>
    <n v="0"/>
    <m/>
    <m/>
    <s v="Not Started"/>
    <s v="No"/>
    <s v="No"/>
    <s v="No"/>
    <n v="0"/>
    <n v="0"/>
    <m/>
    <m/>
    <s v="Not Started"/>
    <s v="No"/>
    <s v="No"/>
    <s v="No"/>
    <m/>
    <m/>
    <n v="0"/>
    <m/>
    <m/>
  </r>
  <r>
    <s v="ID.RA-07 Ex3"/>
    <x v="1"/>
    <s v="The organization's current cybersecurity risks are understood"/>
    <x v="5"/>
    <s v="Risk Assessment (ID.RA)"/>
    <s v="The cybersecurity risk to the organization, assets, and individuals is understood by the organization"/>
    <s v="ID.RA-07"/>
    <s v="Changes and exceptions are managed, assessed for risk impact, recorded, and tracked"/>
    <s v="Ex3: Document the risks related to each requested exception and the plan for responding to those risks"/>
    <s v="CA-07,CM-03,CM-04"/>
    <x v="1"/>
    <m/>
    <m/>
    <m/>
    <s v="CA-07,CM-03,CM-04"/>
    <m/>
    <n v="0"/>
    <n v="0"/>
    <m/>
    <m/>
    <s v="Not Started"/>
    <s v="No"/>
    <s v="No"/>
    <s v="No"/>
    <n v="0"/>
    <n v="0"/>
    <m/>
    <m/>
    <s v="Not Started"/>
    <s v="No"/>
    <s v="No"/>
    <s v="No"/>
    <n v="0"/>
    <n v="0"/>
    <m/>
    <m/>
    <s v="Not Started"/>
    <s v="No"/>
    <s v="No"/>
    <s v="No"/>
    <n v="0"/>
    <n v="0"/>
    <m/>
    <m/>
    <s v="Not Started"/>
    <s v="No"/>
    <s v="No"/>
    <s v="No"/>
    <m/>
    <m/>
    <n v="0"/>
    <m/>
    <m/>
  </r>
  <r>
    <s v="ID.RA-07 Ex4"/>
    <x v="1"/>
    <s v="The organization's current cybersecurity risks are understood"/>
    <x v="5"/>
    <s v="Risk Assessment (ID.RA)"/>
    <s v="The cybersecurity risk to the organization, assets, and individuals is understood by the organization"/>
    <s v="ID.RA-07"/>
    <s v="Changes and exceptions are managed, assessed for risk impact, recorded, and tracked"/>
    <s v="Ex4: Periodically review risks that were accepted based upon planned future actions or milestones"/>
    <s v="CA-07,CM-03,CM-04"/>
    <x v="1"/>
    <m/>
    <m/>
    <m/>
    <s v="CA-07,CM-03,CM-04"/>
    <m/>
    <n v="0"/>
    <n v="0"/>
    <m/>
    <m/>
    <s v="Not Started"/>
    <s v="No"/>
    <s v="No"/>
    <s v="No"/>
    <n v="0"/>
    <n v="0"/>
    <m/>
    <m/>
    <s v="Not Started"/>
    <s v="No"/>
    <s v="No"/>
    <s v="No"/>
    <n v="0"/>
    <n v="0"/>
    <m/>
    <m/>
    <s v="Not Started"/>
    <s v="No"/>
    <s v="No"/>
    <s v="No"/>
    <n v="0"/>
    <n v="0"/>
    <m/>
    <m/>
    <s v="Not Started"/>
    <s v="No"/>
    <s v="No"/>
    <s v="No"/>
    <m/>
    <m/>
    <n v="0"/>
    <m/>
    <m/>
  </r>
  <r>
    <s v="ID.RA-08 Ex2"/>
    <x v="1"/>
    <s v="The organization's current cybersecurity risks are understood"/>
    <x v="5"/>
    <s v="Risk Assessment (ID.RA)"/>
    <s v="The cybersecurity risk to the organization, assets, and individuals is understood by the organization"/>
    <s v="ID.RA-08"/>
    <s v="Processes for receiving, analyzing, and responding to vulnerability disclosures are established"/>
    <s v="Ex2: Assign responsibilities and verify the execution of procedures for processing, analyzing the impact of, and responding to cybersecurity threat, vulnerability, or incident disclosures by suppliers, customers, partners, and government cybersecurity organizations"/>
    <s v="RA-05"/>
    <x v="1"/>
    <m/>
    <m/>
    <m/>
    <s v="RA-05"/>
    <m/>
    <n v="0"/>
    <n v="0"/>
    <m/>
    <m/>
    <s v="Not Started"/>
    <s v="No"/>
    <s v="No"/>
    <s v="No"/>
    <n v="0"/>
    <n v="0"/>
    <m/>
    <m/>
    <s v="Not Started"/>
    <s v="No"/>
    <s v="No"/>
    <s v="No"/>
    <n v="0"/>
    <n v="0"/>
    <m/>
    <m/>
    <s v="Not Started"/>
    <s v="No"/>
    <s v="No"/>
    <s v="No"/>
    <n v="0"/>
    <n v="0"/>
    <m/>
    <m/>
    <s v="Not Started"/>
    <s v="No"/>
    <s v="No"/>
    <s v="No"/>
    <m/>
    <m/>
    <n v="0"/>
    <m/>
    <m/>
  </r>
  <r>
    <s v="ID.RA-09 Ex1"/>
    <x v="1"/>
    <s v="The organization's current cybersecurity risks are understood"/>
    <x v="5"/>
    <s v="Risk Assessment (ID.RA)"/>
    <s v="The cybersecurity risk to the organization, assets, and individuals is understood by the organization"/>
    <s v="ID.RA-09"/>
    <s v="The authenticity and integrity of hardware and software are assessed prior to acquisition and use"/>
    <s v="Ex1: Assess the authenticity and cybersecurity of critical technology products and services prior to acquisition and use"/>
    <s v="SA-04,SA-05,SA-10,SA-11,SA-15,SA-17,SI-07,SR-05,SR-06,SR-10,SR-11"/>
    <x v="1"/>
    <m/>
    <m/>
    <m/>
    <s v="SA-04,SA-05,SA-10,SA-11,SA-15,SA-17,SI-07,SR-05,SR-06,SR-10,SR-11"/>
    <m/>
    <n v="0"/>
    <n v="0"/>
    <m/>
    <m/>
    <s v="Not Started"/>
    <s v="No"/>
    <s v="No"/>
    <s v="No"/>
    <n v="0"/>
    <n v="0"/>
    <m/>
    <m/>
    <s v="Not Started"/>
    <s v="No"/>
    <s v="No"/>
    <s v="No"/>
    <n v="0"/>
    <n v="0"/>
    <m/>
    <m/>
    <s v="Not Started"/>
    <s v="No"/>
    <s v="No"/>
    <s v="No"/>
    <n v="0"/>
    <n v="0"/>
    <m/>
    <m/>
    <s v="Not Started"/>
    <s v="No"/>
    <s v="No"/>
    <s v="No"/>
    <m/>
    <m/>
    <n v="0"/>
    <m/>
    <m/>
  </r>
  <r>
    <s v="ID.RA-10 Ex1"/>
    <x v="1"/>
    <s v="The organization's current cybersecurity risks are understood"/>
    <x v="5"/>
    <s v="Risk Assessment (ID.RA)"/>
    <s v="The cybersecurity risk to the organization, assets, and individuals is understood by the organization"/>
    <s v="ID.RA-10"/>
    <s v="Critical suppliers are assessed prior to acquisition"/>
    <s v="Ex1: Conduct supplier risk assessments against business and applicable cybersecurity requirements, including the supply chain"/>
    <s v="SR-06"/>
    <x v="1"/>
    <m/>
    <m/>
    <m/>
    <s v="SR-06"/>
    <m/>
    <n v="0"/>
    <n v="0"/>
    <m/>
    <m/>
    <s v="Not Started"/>
    <s v="No"/>
    <s v="No"/>
    <s v="No"/>
    <n v="0"/>
    <n v="0"/>
    <m/>
    <m/>
    <s v="Not Started"/>
    <s v="No"/>
    <s v="No"/>
    <s v="No"/>
    <n v="0"/>
    <n v="0"/>
    <m/>
    <m/>
    <s v="Not Started"/>
    <s v="No"/>
    <s v="No"/>
    <s v="No"/>
    <n v="0"/>
    <n v="0"/>
    <m/>
    <m/>
    <s v="Not Started"/>
    <s v="No"/>
    <s v="No"/>
    <s v="No"/>
    <m/>
    <m/>
    <n v="0"/>
    <m/>
    <m/>
  </r>
  <r>
    <s v="PR.AA-01 Ex1"/>
    <x v="2"/>
    <s v="Safeguards to manage the organization's cybersecurity risks are used"/>
    <x v="17"/>
    <s v="Identity Management, Authentication, and Access Control (PR.AA)"/>
    <s v="Access to physical and logical assets is limited to authorized users, services, and hardware and  managed commensurate with the assessed risk of unauthorized access"/>
    <s v="PR.AA-01"/>
    <s v="Identities and credentials for authorized users, services, and hardware are managed by the organization"/>
    <s v="Ex1: Initiate requests for new access or additional access for employees, contractors, and others, and track, review, and fulfill the requests, with permission from system or data owners when needed"/>
    <s v="AC-01,AC-02,AC-14,IA-01,IA-02,IA-03,IA-04,IA-05,IA-06,IA-07,IA-08,IA-09,IA-10,IA-11"/>
    <x v="1"/>
    <m/>
    <m/>
    <m/>
    <s v="AC-01,AC-02,AC-14,IA-01,IA-02,IA-03,IA-04,IA-05,IA-06,IA-07,IA-08,IA-09,IA-10,IA-11"/>
    <m/>
    <n v="0"/>
    <n v="0"/>
    <m/>
    <m/>
    <s v="Not Started"/>
    <s v="No"/>
    <s v="No"/>
    <s v="No"/>
    <n v="0"/>
    <n v="0"/>
    <m/>
    <m/>
    <s v="Not Started"/>
    <s v="No"/>
    <s v="No"/>
    <s v="No"/>
    <n v="0"/>
    <n v="0"/>
    <m/>
    <m/>
    <s v="Not Started"/>
    <s v="No"/>
    <s v="No"/>
    <s v="No"/>
    <n v="0"/>
    <n v="0"/>
    <m/>
    <m/>
    <s v="Not Started"/>
    <s v="No"/>
    <s v="No"/>
    <s v="No"/>
    <m/>
    <m/>
    <n v="0"/>
    <m/>
    <m/>
  </r>
  <r>
    <s v="PR.AA-01 Ex2"/>
    <x v="2"/>
    <s v="Safeguards to manage the organization's cybersecurity risks are used"/>
    <x v="17"/>
    <s v="Identity Management, Authentication, and Access Control (PR.AA)"/>
    <s v="Access to physical and logical assets is limited to authorized users, services, and hardware and  managed commensurate with the assessed risk of unauthorized access"/>
    <s v="PR.AA-01"/>
    <s v="Identities and credentials for authorized users, services, and hardware are managed by the organization"/>
    <s v="Ex2: Issue, manage, and revoke cryptographic certificates and identity tokens, cryptographic keys (i.e., key management), and other credentials"/>
    <s v="AC-01,AC-02,AC-14,IA-01,IA-02,IA-03,IA-04,IA-05,IA-06,IA-07,IA-08,IA-09,IA-10,IA-11"/>
    <x v="1"/>
    <m/>
    <m/>
    <m/>
    <s v="AC-01,AC-02,AC-14,IA-01,IA-02,IA-03,IA-04,IA-05,IA-06,IA-07,IA-08,IA-09,IA-10,IA-11"/>
    <m/>
    <n v="0"/>
    <n v="0"/>
    <m/>
    <m/>
    <s v="Not Started"/>
    <s v="No"/>
    <s v="No"/>
    <s v="No"/>
    <n v="0"/>
    <n v="0"/>
    <m/>
    <m/>
    <s v="Not Started"/>
    <s v="No"/>
    <s v="No"/>
    <s v="No"/>
    <n v="0"/>
    <n v="0"/>
    <m/>
    <m/>
    <s v="Not Started"/>
    <s v="No"/>
    <s v="No"/>
    <s v="No"/>
    <n v="0"/>
    <n v="0"/>
    <m/>
    <m/>
    <s v="Not Started"/>
    <s v="No"/>
    <s v="No"/>
    <s v="No"/>
    <m/>
    <m/>
    <n v="0"/>
    <m/>
    <m/>
  </r>
  <r>
    <s v="PR.AA-01 Ex3"/>
    <x v="2"/>
    <s v="Safeguards to manage the organization's cybersecurity risks are used"/>
    <x v="17"/>
    <s v="Identity Management, Authentication, and Access Control (PR.AA)"/>
    <s v="Access to physical and logical assets is limited to authorized users, services, and hardware and  managed commensurate with the assessed risk of unauthorized access"/>
    <s v="PR.AA-01"/>
    <s v="Identities and credentials for authorized users, services, and hardware are managed by the organization"/>
    <s v="Ex3: Select a unique identifier for each device from immutable hardware characteristics or an identifier securely provisioned to the device"/>
    <s v="AC-01,AC-02,AC-14,IA-01,IA-02,IA-03,IA-04,IA-05,IA-06,IA-07,IA-08,IA-09,IA-10,IA-11"/>
    <x v="1"/>
    <m/>
    <m/>
    <m/>
    <s v="AC-01,AC-02,AC-14,IA-01,IA-02,IA-03,IA-04,IA-05,IA-06,IA-07,IA-08,IA-09,IA-10,IA-11"/>
    <m/>
    <n v="0"/>
    <n v="0"/>
    <m/>
    <m/>
    <s v="Not Started"/>
    <s v="No"/>
    <s v="No"/>
    <s v="No"/>
    <n v="0"/>
    <n v="0"/>
    <m/>
    <m/>
    <s v="Not Started"/>
    <s v="No"/>
    <s v="No"/>
    <s v="No"/>
    <n v="0"/>
    <n v="0"/>
    <m/>
    <m/>
    <s v="Not Started"/>
    <s v="No"/>
    <s v="No"/>
    <s v="No"/>
    <n v="0"/>
    <n v="0"/>
    <m/>
    <m/>
    <s v="Not Started"/>
    <s v="No"/>
    <s v="No"/>
    <s v="No"/>
    <m/>
    <m/>
    <n v="0"/>
    <m/>
    <m/>
  </r>
  <r>
    <s v="PR.AA-01 Ex4"/>
    <x v="2"/>
    <s v="Safeguards to manage the organization's cybersecurity risks are used"/>
    <x v="17"/>
    <s v="Identity Management, Authentication, and Access Control (PR.AA)"/>
    <s v="Access to physical and logical assets is limited to authorized users, services, and hardware and  managed commensurate with the assessed risk of unauthorized access"/>
    <s v="PR.AA-01"/>
    <s v="Identities and credentials for authorized users, services, and hardware are managed by the organization"/>
    <s v="Ex4: Physically label authorized hardware with an identifier for inventory and servicing purposes"/>
    <s v="AC-01,AC-02,AC-14,IA-01,IA-02,IA-03,IA-04,IA-05,IA-06,IA-07,IA-08,IA-09,IA-10,IA-11"/>
    <x v="1"/>
    <m/>
    <m/>
    <m/>
    <s v="AC-01,AC-02,AC-14,IA-01,IA-02,IA-03,IA-04,IA-05,IA-06,IA-07,IA-08,IA-09,IA-10,IA-11"/>
    <m/>
    <n v="0"/>
    <n v="0"/>
    <m/>
    <m/>
    <s v="Not Started"/>
    <s v="No"/>
    <s v="No"/>
    <s v="No"/>
    <n v="0"/>
    <n v="0"/>
    <m/>
    <m/>
    <s v="Not Started"/>
    <s v="No"/>
    <s v="No"/>
    <s v="No"/>
    <n v="0"/>
    <n v="0"/>
    <m/>
    <m/>
    <s v="Not Started"/>
    <s v="No"/>
    <s v="No"/>
    <s v="No"/>
    <n v="0"/>
    <n v="0"/>
    <m/>
    <m/>
    <s v="Not Started"/>
    <s v="No"/>
    <s v="No"/>
    <s v="No"/>
    <m/>
    <m/>
    <n v="0"/>
    <m/>
    <m/>
  </r>
  <r>
    <s v="PR.AA-02 Ex1"/>
    <x v="2"/>
    <s v="Safeguards to manage the organization's cybersecurity risks are used"/>
    <x v="17"/>
    <s v="Identity Management, Authentication, and Access Control (PR.AA)"/>
    <s v="Access to physical and logical assets is limited to authorized users, services, and hardware and  managed commensurate with the assessed risk of unauthorized access"/>
    <s v="PR.AA-02"/>
    <s v="Identities are proofed and bound to credentials based on the context of interactions"/>
    <s v="Ex1: Verify a person's claimed identity at enrollment time using government-issued identity credentials (e.g., passport, visa, driver's license)"/>
    <s v="IA-12"/>
    <x v="1"/>
    <m/>
    <m/>
    <m/>
    <s v="IA-12"/>
    <m/>
    <n v="0"/>
    <n v="0"/>
    <m/>
    <m/>
    <s v="Not Started"/>
    <s v="No"/>
    <s v="No"/>
    <s v="No"/>
    <n v="0"/>
    <n v="0"/>
    <m/>
    <m/>
    <s v="Not Started"/>
    <s v="No"/>
    <s v="No"/>
    <s v="No"/>
    <n v="0"/>
    <n v="0"/>
    <m/>
    <m/>
    <s v="Not Started"/>
    <s v="No"/>
    <s v="No"/>
    <s v="No"/>
    <n v="0"/>
    <n v="0"/>
    <m/>
    <m/>
    <s v="Not Started"/>
    <s v="No"/>
    <s v="No"/>
    <s v="No"/>
    <m/>
    <m/>
    <n v="0"/>
    <m/>
    <m/>
  </r>
  <r>
    <s v="PR.AA-03 Ex1"/>
    <x v="2"/>
    <s v="Safeguards to manage the organization's cybersecurity risks are used"/>
    <x v="17"/>
    <s v="Identity Management, Authentication, and Access Control (PR.AA)"/>
    <s v="Access to physical and logical assets is limited to authorized users, services, and hardware and  managed commensurate with the assessed risk of unauthorized access"/>
    <s v="PR.AA-03"/>
    <s v="Users, services, and hardware are authenticated"/>
    <s v="Ex1: Require multifactor authentication"/>
    <s v="AC-07,AC-12,IA-02,IA-03,IA-05,IA-07,IA-08,IA-09,IA-10,IA-11"/>
    <x v="1"/>
    <m/>
    <m/>
    <m/>
    <s v="AC-07,AC-12,IA-02,IA-03,IA-05,IA-07,IA-08,IA-09,IA-10,IA-11"/>
    <m/>
    <n v="0"/>
    <n v="0"/>
    <m/>
    <m/>
    <s v="Not Started"/>
    <s v="No"/>
    <s v="No"/>
    <s v="No"/>
    <n v="0"/>
    <n v="0"/>
    <m/>
    <m/>
    <s v="Not Started"/>
    <s v="No"/>
    <s v="No"/>
    <s v="No"/>
    <n v="0"/>
    <n v="0"/>
    <m/>
    <m/>
    <s v="Not Started"/>
    <s v="No"/>
    <s v="No"/>
    <s v="No"/>
    <n v="0"/>
    <n v="0"/>
    <m/>
    <m/>
    <s v="Not Started"/>
    <s v="No"/>
    <s v="No"/>
    <s v="No"/>
    <m/>
    <m/>
    <n v="0"/>
    <m/>
    <m/>
  </r>
  <r>
    <s v="PR.AA-03 Ex2"/>
    <x v="2"/>
    <s v="Safeguards to manage the organization's cybersecurity risks are used"/>
    <x v="17"/>
    <s v="Identity Management, Authentication, and Access Control (PR.AA)"/>
    <s v="Access to physical and logical assets is limited to authorized users, services, and hardware and  managed commensurate with the assessed risk of unauthorized access"/>
    <s v="PR.AA-03"/>
    <s v="Users, services, and hardware are authenticated"/>
    <s v="Ex2: Enforce policies for the minimum strength of passwords, PINs, and similar authenticators"/>
    <s v="AC-07,AC-12,IA-02,IA-03,IA-05,IA-07,IA-08,IA-09,IA-10,IA-11"/>
    <x v="1"/>
    <m/>
    <m/>
    <m/>
    <s v="AC-07,AC-12,IA-02,IA-03,IA-05,IA-07,IA-08,IA-09,IA-10,IA-11"/>
    <m/>
    <n v="0"/>
    <n v="0"/>
    <m/>
    <m/>
    <s v="Not Started"/>
    <s v="No"/>
    <s v="No"/>
    <s v="No"/>
    <n v="0"/>
    <n v="0"/>
    <m/>
    <m/>
    <s v="Not Started"/>
    <s v="No"/>
    <s v="No"/>
    <s v="No"/>
    <n v="0"/>
    <n v="0"/>
    <m/>
    <m/>
    <s v="Not Started"/>
    <s v="No"/>
    <s v="No"/>
    <s v="No"/>
    <n v="0"/>
    <n v="0"/>
    <m/>
    <m/>
    <s v="Not Started"/>
    <s v="No"/>
    <s v="No"/>
    <s v="No"/>
    <m/>
    <m/>
    <n v="0"/>
    <m/>
    <m/>
  </r>
  <r>
    <s v="PR.AA-03 Ex3"/>
    <x v="2"/>
    <s v="Safeguards to manage the organization's cybersecurity risks are used"/>
    <x v="17"/>
    <s v="Identity Management, Authentication, and Access Control (PR.AA)"/>
    <s v="Access to physical and logical assets is limited to authorized users, services, and hardware and  managed commensurate with the assessed risk of unauthorized access"/>
    <s v="PR.AA-03"/>
    <s v="Users, services, and hardware are authenticated"/>
    <s v="Ex3: Periodically reauthenticate users, services, and hardware based on risk (e.g., in zero trust architectures)"/>
    <s v="AC-07,AC-12,IA-02,IA-03,IA-05,IA-07,IA-08,IA-09,IA-10,IA-11"/>
    <x v="1"/>
    <m/>
    <m/>
    <m/>
    <s v="AC-07,AC-12,IA-02,IA-03,IA-05,IA-07,IA-08,IA-09,IA-10,IA-11"/>
    <m/>
    <n v="0"/>
    <n v="0"/>
    <m/>
    <m/>
    <s v="Not Started"/>
    <s v="No"/>
    <s v="No"/>
    <s v="No"/>
    <n v="0"/>
    <n v="0"/>
    <m/>
    <m/>
    <s v="Not Started"/>
    <s v="No"/>
    <s v="No"/>
    <s v="No"/>
    <n v="0"/>
    <n v="0"/>
    <m/>
    <m/>
    <s v="Not Started"/>
    <s v="No"/>
    <s v="No"/>
    <s v="No"/>
    <n v="0"/>
    <n v="0"/>
    <m/>
    <m/>
    <s v="Not Started"/>
    <s v="No"/>
    <s v="No"/>
    <s v="No"/>
    <m/>
    <m/>
    <n v="0"/>
    <m/>
    <m/>
  </r>
  <r>
    <s v="PR.AA-03 Ex4"/>
    <x v="2"/>
    <s v="Safeguards to manage the organization's cybersecurity risks are used"/>
    <x v="17"/>
    <s v="Identity Management, Authentication, and Access Control (PR.AA)"/>
    <s v="Access to physical and logical assets is limited to authorized users, services, and hardware and  managed commensurate with the assessed risk of unauthorized access"/>
    <s v="PR.AA-03"/>
    <s v="Users, services, and hardware are authenticated"/>
    <s v="Ex4: Ensure that authorized personnel can access accounts essential for protecting safety under emergency conditions"/>
    <s v="AC-07,AC-12,IA-02,IA-03,IA-05,IA-07,IA-08,IA-09,IA-10,IA-11"/>
    <x v="1"/>
    <m/>
    <m/>
    <m/>
    <s v="AC-07,AC-12,IA-02,IA-03,IA-05,IA-07,IA-08,IA-09,IA-10,IA-11"/>
    <m/>
    <n v="0"/>
    <n v="0"/>
    <m/>
    <m/>
    <s v="Not Started"/>
    <s v="No"/>
    <s v="No"/>
    <s v="No"/>
    <n v="0"/>
    <n v="0"/>
    <m/>
    <m/>
    <s v="Not Started"/>
    <s v="No"/>
    <s v="No"/>
    <s v="No"/>
    <n v="0"/>
    <n v="0"/>
    <m/>
    <m/>
    <s v="Not Started"/>
    <s v="No"/>
    <s v="No"/>
    <s v="No"/>
    <n v="0"/>
    <n v="0"/>
    <m/>
    <m/>
    <s v="Not Started"/>
    <s v="No"/>
    <s v="No"/>
    <s v="No"/>
    <m/>
    <m/>
    <n v="0"/>
    <m/>
    <m/>
  </r>
  <r>
    <s v="PR.AA-04 Ex1"/>
    <x v="2"/>
    <s v="Safeguards to manage the organization's cybersecurity risks are used"/>
    <x v="17"/>
    <s v="Identity Management, Authentication, and Access Control (PR.AA)"/>
    <s v="Access to physical and logical assets is limited to authorized users, services, and hardware and  managed commensurate with the assessed risk of unauthorized access"/>
    <s v="PR.AA-04"/>
    <s v="Identity assertions are protected, conveyed, and verified"/>
    <s v="Ex1: Protect identity assertions that are used to convey authentication and user information through single sign-on systems"/>
    <s v="IA-13"/>
    <x v="1"/>
    <m/>
    <m/>
    <m/>
    <s v="IA-13"/>
    <m/>
    <n v="0"/>
    <n v="0"/>
    <m/>
    <m/>
    <s v="Not Started"/>
    <s v="No"/>
    <s v="No"/>
    <s v="No"/>
    <n v="0"/>
    <n v="0"/>
    <m/>
    <m/>
    <s v="Not Started"/>
    <s v="No"/>
    <s v="No"/>
    <s v="No"/>
    <n v="0"/>
    <n v="0"/>
    <m/>
    <m/>
    <s v="Not Started"/>
    <s v="No"/>
    <s v="No"/>
    <s v="No"/>
    <n v="0"/>
    <n v="0"/>
    <m/>
    <m/>
    <s v="Not Started"/>
    <s v="No"/>
    <s v="No"/>
    <s v="No"/>
    <m/>
    <m/>
    <n v="0"/>
    <m/>
    <m/>
  </r>
  <r>
    <s v="PR.AA-04 Ex2"/>
    <x v="2"/>
    <s v="Safeguards to manage the organization's cybersecurity risks are used"/>
    <x v="17"/>
    <s v="Identity Management, Authentication, and Access Control (PR.AA)"/>
    <s v="Access to physical and logical assets is limited to authorized users, services, and hardware and  managed commensurate with the assessed risk of unauthorized access"/>
    <s v="PR.AA-04"/>
    <s v="Identity assertions are protected, conveyed, and verified"/>
    <s v="Ex2: Protect identity assertions that are used to convey authentication and user information between federated systems"/>
    <s v="IA-13"/>
    <x v="1"/>
    <m/>
    <m/>
    <m/>
    <s v="IA-13"/>
    <m/>
    <n v="0"/>
    <n v="0"/>
    <m/>
    <m/>
    <s v="Not Started"/>
    <s v="No"/>
    <s v="No"/>
    <s v="No"/>
    <n v="0"/>
    <n v="0"/>
    <m/>
    <m/>
    <s v="Not Started"/>
    <s v="No"/>
    <s v="No"/>
    <s v="No"/>
    <n v="0"/>
    <n v="0"/>
    <m/>
    <m/>
    <s v="Not Started"/>
    <s v="No"/>
    <s v="No"/>
    <s v="No"/>
    <n v="0"/>
    <n v="0"/>
    <m/>
    <m/>
    <s v="Not Started"/>
    <s v="No"/>
    <s v="No"/>
    <s v="No"/>
    <m/>
    <m/>
    <n v="0"/>
    <m/>
    <m/>
  </r>
  <r>
    <s v="PR.AA-04 Ex3"/>
    <x v="2"/>
    <s v="Safeguards to manage the organization's cybersecurity risks are used"/>
    <x v="17"/>
    <s v="Identity Management, Authentication, and Access Control (PR.AA)"/>
    <s v="Access to physical and logical assets is limited to authorized users, services, and hardware and  managed commensurate with the assessed risk of unauthorized access"/>
    <s v="PR.AA-04"/>
    <s v="Identity assertions are protected, conveyed, and verified"/>
    <s v="Ex3: Implement standards-based approaches for identity assertions in all contexts, and follow all guidance for the generation (e.g., data models, metadata), protection (e.g., digital signing, encryption), and verification (e.g., signature validation) of identity assertions"/>
    <s v="IA-13"/>
    <x v="1"/>
    <m/>
    <m/>
    <m/>
    <s v="IA-13"/>
    <m/>
    <n v="0"/>
    <n v="0"/>
    <m/>
    <m/>
    <s v="Not Started"/>
    <s v="No"/>
    <s v="No"/>
    <s v="No"/>
    <n v="0"/>
    <n v="0"/>
    <m/>
    <m/>
    <s v="Not Started"/>
    <s v="No"/>
    <s v="No"/>
    <s v="No"/>
    <n v="0"/>
    <n v="0"/>
    <m/>
    <m/>
    <s v="Not Started"/>
    <s v="No"/>
    <s v="No"/>
    <s v="No"/>
    <n v="0"/>
    <n v="0"/>
    <m/>
    <m/>
    <s v="Not Started"/>
    <s v="No"/>
    <s v="No"/>
    <s v="No"/>
    <m/>
    <m/>
    <n v="0"/>
    <m/>
    <m/>
  </r>
  <r>
    <s v="PR.AA-05 Ex1"/>
    <x v="2"/>
    <s v="Safeguards to manage the organization's cybersecurity risks are used"/>
    <x v="17"/>
    <s v="Identity Management, Authentication, and Access Control (PR.AA)"/>
    <s v="Access to physical and logical assets is limited to authorized users, services, and hardware and  managed commensurate with the assessed risk of unauthorized access"/>
    <s v="PR.AA-05"/>
    <s v="Access permissions, entitlements, and authorizations are defined in a policy, managed, enforced, and reviewed, and incorporate the principles of least privilege and separation of duties"/>
    <s v="Ex1: Review logical and physical access privileges periodically and whenever someone changes roles or leaves the organization, and promptly rescind privileges that are no longer needed"/>
    <s v="AC-01,AC-02,AC-03,AC-05,AC-06,AC-10,AC-16,AC-17,AC-18,AC-19,AC-24,IA-13"/>
    <x v="1"/>
    <m/>
    <m/>
    <m/>
    <s v="AC-01,AC-02,AC-03,AC-05,AC-06,AC-10,AC-16,AC-17,AC-18,AC-19,AC-24,IA-13"/>
    <m/>
    <n v="0"/>
    <n v="0"/>
    <m/>
    <m/>
    <s v="Not Started"/>
    <s v="No"/>
    <s v="No"/>
    <s v="No"/>
    <n v="0"/>
    <n v="0"/>
    <m/>
    <m/>
    <s v="Not Started"/>
    <s v="No"/>
    <s v="No"/>
    <s v="No"/>
    <n v="0"/>
    <n v="0"/>
    <m/>
    <m/>
    <s v="Not Started"/>
    <s v="No"/>
    <s v="No"/>
    <s v="No"/>
    <n v="0"/>
    <n v="0"/>
    <m/>
    <m/>
    <s v="Not Started"/>
    <s v="No"/>
    <s v="No"/>
    <s v="No"/>
    <m/>
    <m/>
    <n v="0"/>
    <m/>
    <m/>
  </r>
  <r>
    <s v="PR.AA-05 Ex2"/>
    <x v="2"/>
    <s v="Safeguards to manage the organization's cybersecurity risks are used"/>
    <x v="17"/>
    <s v="Identity Management, Authentication, and Access Control (PR.AA)"/>
    <s v="Access to physical and logical assets is limited to authorized users, services, and hardware and  managed commensurate with the assessed risk of unauthorized access"/>
    <s v="PR.AA-05"/>
    <s v="Access permissions, entitlements, and authorizations are defined in a policy, managed, enforced, and reviewed, and incorporate the principles of least privilege and separation of duties"/>
    <s v="Ex2: Take attributes of the requester and the requested resource into account for authorization decisions (e.g., geolocation, day/time, requester endpoint's cyber health)"/>
    <s v="AC-01,AC-02,AC-03,AC-05,AC-06,AC-10,AC-16,AC-17,AC-18,AC-19,AC-24,IA-13"/>
    <x v="1"/>
    <m/>
    <m/>
    <m/>
    <s v="AC-01,AC-02,AC-03,AC-05,AC-06,AC-10,AC-16,AC-17,AC-18,AC-19,AC-24,IA-13"/>
    <m/>
    <n v="0"/>
    <n v="0"/>
    <m/>
    <m/>
    <s v="Not Started"/>
    <s v="No"/>
    <s v="No"/>
    <s v="No"/>
    <n v="0"/>
    <n v="0"/>
    <m/>
    <m/>
    <s v="Not Started"/>
    <s v="No"/>
    <s v="No"/>
    <s v="No"/>
    <n v="0"/>
    <n v="0"/>
    <m/>
    <m/>
    <s v="Not Started"/>
    <s v="No"/>
    <s v="No"/>
    <s v="No"/>
    <n v="0"/>
    <n v="0"/>
    <m/>
    <m/>
    <s v="Not Started"/>
    <s v="No"/>
    <s v="No"/>
    <s v="No"/>
    <m/>
    <m/>
    <n v="0"/>
    <m/>
    <m/>
  </r>
  <r>
    <s v="PR.AA-05 Ex3"/>
    <x v="2"/>
    <s v="Safeguards to manage the organization's cybersecurity risks are used"/>
    <x v="17"/>
    <s v="Identity Management, Authentication, and Access Control (PR.AA)"/>
    <s v="Access to physical and logical assets is limited to authorized users, services, and hardware and  managed commensurate with the assessed risk of unauthorized access"/>
    <s v="PR.AA-05"/>
    <s v="Access permissions, entitlements, and authorizations are defined in a policy, managed, enforced, and reviewed, and incorporate the principles of least privilege and separation of duties"/>
    <s v="Ex3: Restrict access and privileges to the minimum necessary (e.g., zero trust architecture)"/>
    <s v="AC-01,AC-02,AC-03,AC-05,AC-06,AC-10,AC-16,AC-17,AC-18,AC-19,AC-24,IA-13"/>
    <x v="1"/>
    <m/>
    <m/>
    <m/>
    <s v="AC-01,AC-02,AC-03,AC-05,AC-06,AC-10,AC-16,AC-17,AC-18,AC-19,AC-24,IA-13"/>
    <m/>
    <n v="0"/>
    <n v="0"/>
    <m/>
    <m/>
    <s v="Not Started"/>
    <s v="No"/>
    <s v="No"/>
    <s v="No"/>
    <n v="0"/>
    <n v="0"/>
    <m/>
    <m/>
    <s v="Not Started"/>
    <s v="No"/>
    <s v="No"/>
    <s v="No"/>
    <n v="0"/>
    <n v="0"/>
    <m/>
    <m/>
    <s v="Not Started"/>
    <s v="No"/>
    <s v="No"/>
    <s v="No"/>
    <n v="0"/>
    <n v="0"/>
    <m/>
    <m/>
    <s v="Not Started"/>
    <s v="No"/>
    <s v="No"/>
    <s v="No"/>
    <m/>
    <m/>
    <n v="0"/>
    <m/>
    <m/>
  </r>
  <r>
    <s v="PR.AA-05 Ex4"/>
    <x v="2"/>
    <s v="Safeguards to manage the organization's cybersecurity risks are used"/>
    <x v="17"/>
    <s v="Identity Management, Authentication, and Access Control (PR.AA)"/>
    <s v="Access to physical and logical assets is limited to authorized users, services, and hardware and  managed commensurate with the assessed risk of unauthorized access"/>
    <s v="PR.AA-05"/>
    <s v="Access permissions, entitlements, and authorizations are defined in a policy, managed, enforced, and reviewed, and incorporate the principles of least privilege and separation of duties"/>
    <s v="Ex4: Periodically review the privileges associated with critical business functions to confirm proper separation of duties"/>
    <s v="AC-01,AC-02,AC-03,AC-05,AC-06,AC-10,AC-16,AC-17,AC-18,AC-19,AC-24,IA-13"/>
    <x v="1"/>
    <m/>
    <m/>
    <m/>
    <s v="AC-01,AC-02,AC-03,AC-05,AC-06,AC-10,AC-16,AC-17,AC-18,AC-19,AC-24,IA-13"/>
    <m/>
    <n v="0"/>
    <n v="0"/>
    <m/>
    <m/>
    <s v="Not Started"/>
    <s v="No"/>
    <s v="No"/>
    <s v="No"/>
    <n v="0"/>
    <n v="0"/>
    <m/>
    <m/>
    <s v="Not Started"/>
    <s v="No"/>
    <s v="No"/>
    <s v="No"/>
    <n v="0"/>
    <n v="0"/>
    <m/>
    <m/>
    <s v="Not Started"/>
    <s v="No"/>
    <s v="No"/>
    <s v="No"/>
    <n v="0"/>
    <n v="0"/>
    <m/>
    <m/>
    <s v="Not Started"/>
    <s v="No"/>
    <s v="No"/>
    <s v="No"/>
    <m/>
    <m/>
    <n v="0"/>
    <m/>
    <m/>
  </r>
  <r>
    <s v="PR.AA-06 Ex1"/>
    <x v="2"/>
    <s v="Safeguards to manage the organization's cybersecurity risks are used"/>
    <x v="17"/>
    <s v="Identity Management, Authentication, and Access Control (PR.AA)"/>
    <s v="Access to physical and logical assets is limited to authorized users, services, and hardware and  managed commensurate with the assessed risk of unauthorized access"/>
    <s v="PR.AA-06"/>
    <s v="Physical access to assets is managed, monitored, and enforced commensurate with risk"/>
    <s v="Ex1: Use security guards, security cameras, locked entrances, alarm systems, and other physical controls to monitor facilities and restrict access"/>
    <s v="PE-02,PE-03,PE-04,PE-05,PE-06,PE-08,PE-18,PE-19,PE-20"/>
    <x v="1"/>
    <m/>
    <m/>
    <m/>
    <s v="PE-02,PE-03,PE-04,PE-05,PE-06,PE-08,PE-18,PE-19,PE-20"/>
    <m/>
    <n v="0"/>
    <n v="0"/>
    <m/>
    <m/>
    <s v="Not Started"/>
    <s v="No"/>
    <s v="No"/>
    <s v="No"/>
    <n v="0"/>
    <n v="0"/>
    <m/>
    <m/>
    <s v="Not Started"/>
    <s v="No"/>
    <s v="No"/>
    <s v="No"/>
    <n v="0"/>
    <n v="0"/>
    <m/>
    <m/>
    <s v="Not Started"/>
    <s v="No"/>
    <s v="No"/>
    <s v="No"/>
    <n v="0"/>
    <n v="0"/>
    <m/>
    <m/>
    <s v="Not Started"/>
    <s v="No"/>
    <s v="No"/>
    <s v="No"/>
    <m/>
    <m/>
    <n v="0"/>
    <m/>
    <m/>
  </r>
  <r>
    <s v="PR.AA-06 Ex2"/>
    <x v="2"/>
    <s v="Safeguards to manage the organization's cybersecurity risks are used"/>
    <x v="17"/>
    <s v="Identity Management, Authentication, and Access Control (PR.AA)"/>
    <s v="Access to physical and logical assets is limited to authorized users, services, and hardware and  managed commensurate with the assessed risk of unauthorized access"/>
    <s v="PR.AA-06"/>
    <s v="Physical access to assets is managed, monitored, and enforced commensurate with risk"/>
    <s v="Ex2: Employ additional physical security controls for areas that contain high-risk assets"/>
    <s v="PE-02,PE-03,PE-04,PE-05,PE-06,PE-08,PE-18,PE-19,PE-20"/>
    <x v="1"/>
    <m/>
    <m/>
    <m/>
    <s v="PE-02,PE-03,PE-04,PE-05,PE-06,PE-08,PE-18,PE-19,PE-20"/>
    <m/>
    <n v="0"/>
    <n v="0"/>
    <m/>
    <m/>
    <s v="Not Started"/>
    <s v="No"/>
    <s v="No"/>
    <s v="No"/>
    <n v="0"/>
    <n v="0"/>
    <m/>
    <m/>
    <s v="Not Started"/>
    <s v="No"/>
    <s v="No"/>
    <s v="No"/>
    <n v="0"/>
    <n v="0"/>
    <m/>
    <m/>
    <s v="Not Started"/>
    <s v="No"/>
    <s v="No"/>
    <s v="No"/>
    <n v="0"/>
    <n v="0"/>
    <m/>
    <m/>
    <s v="Not Started"/>
    <s v="No"/>
    <s v="No"/>
    <s v="No"/>
    <m/>
    <m/>
    <n v="0"/>
    <m/>
    <m/>
  </r>
  <r>
    <s v="PR.AA-06 Ex3"/>
    <x v="2"/>
    <s v="Safeguards to manage the organization's cybersecurity risks are used"/>
    <x v="17"/>
    <s v="Identity Management, Authentication, and Access Control (PR.AA)"/>
    <s v="Access to physical and logical assets is limited to authorized users, services, and hardware and  managed commensurate with the assessed risk of unauthorized access"/>
    <s v="PR.AA-06"/>
    <s v="Physical access to assets is managed, monitored, and enforced commensurate with risk"/>
    <s v="Ex3: Escort guests, vendors, and other third parties within areas that contain business-critical assets"/>
    <s v="PE-02,PE-03,PE-04,PE-05,PE-06,PE-08,PE-18,PE-19,PE-20"/>
    <x v="1"/>
    <m/>
    <m/>
    <m/>
    <s v="PE-02,PE-03,PE-04,PE-05,PE-06,PE-08,PE-18,PE-19,PE-20"/>
    <m/>
    <n v="0"/>
    <n v="0"/>
    <m/>
    <m/>
    <s v="Not Started"/>
    <s v="No"/>
    <s v="No"/>
    <s v="No"/>
    <n v="0"/>
    <n v="0"/>
    <m/>
    <m/>
    <s v="Not Started"/>
    <s v="No"/>
    <s v="No"/>
    <s v="No"/>
    <n v="0"/>
    <n v="0"/>
    <m/>
    <m/>
    <s v="Not Started"/>
    <s v="No"/>
    <s v="No"/>
    <s v="No"/>
    <n v="0"/>
    <n v="0"/>
    <m/>
    <m/>
    <s v="Not Started"/>
    <s v="No"/>
    <s v="No"/>
    <s v="No"/>
    <m/>
    <m/>
    <n v="0"/>
    <m/>
    <m/>
  </r>
  <r>
    <s v="PR.AT-01 Ex1"/>
    <x v="2"/>
    <s v="Safeguards to manage the organization's cybersecurity risks are used"/>
    <x v="6"/>
    <s v="Awareness and Training (PR.AT)"/>
    <s v="The organization's personnel are provided with cybersecurity awareness and training so that they can perform their cybersecurity-related tasks"/>
    <s v="PR.AT-01"/>
    <s v="Personnel are provided with awareness and training so that they possess the knowledge and skills to perform general tasks with cybersecurity risks in mind"/>
    <s v="Ex1: Provide basic cybersecurity awareness and training to employees, contractors, partners, suppliers, and all other users of the organization's non-public resources"/>
    <s v="AT-02,AT-03"/>
    <x v="1"/>
    <m/>
    <m/>
    <m/>
    <s v="AT-02,AT-03"/>
    <m/>
    <n v="0"/>
    <n v="0"/>
    <m/>
    <m/>
    <s v="Not Started"/>
    <s v="No"/>
    <s v="No"/>
    <s v="No"/>
    <n v="0"/>
    <n v="0"/>
    <m/>
    <m/>
    <s v="Not Started"/>
    <s v="No"/>
    <s v="No"/>
    <s v="No"/>
    <n v="0"/>
    <n v="0"/>
    <m/>
    <m/>
    <s v="Not Started"/>
    <s v="No"/>
    <s v="No"/>
    <s v="No"/>
    <n v="0"/>
    <n v="0"/>
    <m/>
    <m/>
    <s v="Not Started"/>
    <s v="No"/>
    <s v="No"/>
    <s v="No"/>
    <m/>
    <m/>
    <n v="0"/>
    <m/>
    <m/>
  </r>
  <r>
    <s v="PR.AT-01 Ex3"/>
    <x v="2"/>
    <s v="Safeguards to manage the organization's cybersecurity risks are used"/>
    <x v="6"/>
    <s v="Awareness and Training (PR.AT)"/>
    <s v="The organization's personnel are provided with cybersecurity awareness and training so that they can perform their cybersecurity-related tasks"/>
    <s v="PR.AT-01"/>
    <s v="Personnel are provided with awareness and training so that they possess the knowledge and skills to perform general tasks with cybersecurity risks in mind"/>
    <s v="Ex3: Explain the consequences of cybersecurity policy violations, both to individual users and the organization as a whole"/>
    <s v="AT-02,AT-03"/>
    <x v="1"/>
    <m/>
    <m/>
    <m/>
    <s v="AT-02,AT-03"/>
    <m/>
    <n v="0"/>
    <n v="0"/>
    <m/>
    <m/>
    <s v="Not Started"/>
    <s v="No"/>
    <s v="No"/>
    <s v="No"/>
    <n v="0"/>
    <n v="0"/>
    <m/>
    <m/>
    <s v="Not Started"/>
    <s v="No"/>
    <s v="No"/>
    <s v="No"/>
    <n v="0"/>
    <n v="0"/>
    <m/>
    <m/>
    <s v="Not Started"/>
    <s v="No"/>
    <s v="No"/>
    <s v="No"/>
    <n v="0"/>
    <n v="0"/>
    <m/>
    <m/>
    <s v="Not Started"/>
    <s v="No"/>
    <s v="No"/>
    <s v="No"/>
    <m/>
    <m/>
    <n v="0"/>
    <m/>
    <m/>
  </r>
  <r>
    <s v="PR.AT-01 Ex4"/>
    <x v="2"/>
    <s v="Safeguards to manage the organization's cybersecurity risks are used"/>
    <x v="6"/>
    <s v="Awareness and Training (PR.AT)"/>
    <s v="The organization's personnel are provided with cybersecurity awareness and training so that they can perform their cybersecurity-related tasks"/>
    <s v="PR.AT-01"/>
    <s v="Personnel are provided with awareness and training so that they possess the knowledge and skills to perform general tasks with cybersecurity risks in mind"/>
    <s v="Ex4: Periodically assess or test users on their understanding of basic cybersecurity practices"/>
    <s v="AT-02,AT-03"/>
    <x v="1"/>
    <m/>
    <m/>
    <m/>
    <s v="AT-02,AT-03"/>
    <m/>
    <n v="0"/>
    <n v="0"/>
    <m/>
    <m/>
    <s v="Not Started"/>
    <s v="No"/>
    <s v="No"/>
    <s v="No"/>
    <n v="0"/>
    <n v="0"/>
    <m/>
    <m/>
    <s v="Not Started"/>
    <s v="No"/>
    <s v="No"/>
    <s v="No"/>
    <n v="0"/>
    <n v="0"/>
    <m/>
    <m/>
    <s v="Not Started"/>
    <s v="No"/>
    <s v="No"/>
    <s v="No"/>
    <n v="0"/>
    <n v="0"/>
    <m/>
    <m/>
    <s v="Not Started"/>
    <s v="No"/>
    <s v="No"/>
    <s v="No"/>
    <m/>
    <m/>
    <n v="0"/>
    <m/>
    <m/>
  </r>
  <r>
    <s v="PR.AT-01 Ex5"/>
    <x v="2"/>
    <s v="Safeguards to manage the organization's cybersecurity risks are used"/>
    <x v="6"/>
    <s v="Awareness and Training (PR.AT)"/>
    <s v="The organization's personnel are provided with cybersecurity awareness and training so that they can perform their cybersecurity-related tasks"/>
    <s v="PR.AT-01"/>
    <s v="Personnel are provided with awareness and training so that they possess the knowledge and skills to perform general tasks with cybersecurity risks in mind"/>
    <s v="Ex5: Require annual refreshers to reinforce existing practices and introduce new practices"/>
    <s v="AT-02,AT-03"/>
    <x v="1"/>
    <m/>
    <m/>
    <m/>
    <s v="AT-02,AT-03"/>
    <m/>
    <n v="0"/>
    <n v="0"/>
    <m/>
    <m/>
    <s v="Not Started"/>
    <s v="No"/>
    <s v="No"/>
    <s v="No"/>
    <n v="0"/>
    <n v="0"/>
    <m/>
    <m/>
    <s v="Not Started"/>
    <s v="No"/>
    <s v="No"/>
    <s v="No"/>
    <n v="0"/>
    <n v="0"/>
    <m/>
    <m/>
    <s v="Not Started"/>
    <s v="No"/>
    <s v="No"/>
    <s v="No"/>
    <n v="0"/>
    <n v="0"/>
    <m/>
    <m/>
    <s v="Not Started"/>
    <s v="No"/>
    <s v="No"/>
    <s v="No"/>
    <m/>
    <m/>
    <n v="0"/>
    <m/>
    <m/>
  </r>
  <r>
    <s v="PR.AT-02 Ex1"/>
    <x v="2"/>
    <s v="Safeguards to manage the organization's cybersecurity risks are used"/>
    <x v="6"/>
    <s v="Awareness and Training (PR.AT)"/>
    <s v="The organization's personnel are provided with cybersecurity awareness and training so that they can perform their cybersecurity-related tasks"/>
    <s v="PR.AT-02"/>
    <s v="Individuals in specialized roles are provided with awareness and training so that they possess the knowledge and skills to perform relevant tasks with cybersecurity risks in mind"/>
    <s v="Ex1: Identify the specialized roles within the organization that require additional cybersecurity training, such as physical and cybersecurity personnel, finance personnel, senior leadership, and anyone with access to business-critical data"/>
    <s v="AT-03"/>
    <x v="1"/>
    <m/>
    <m/>
    <m/>
    <s v="AT-03"/>
    <m/>
    <n v="0"/>
    <n v="0"/>
    <m/>
    <m/>
    <s v="Not Started"/>
    <s v="No"/>
    <s v="No"/>
    <s v="No"/>
    <n v="0"/>
    <n v="0"/>
    <m/>
    <m/>
    <s v="Not Started"/>
    <s v="No"/>
    <s v="No"/>
    <s v="No"/>
    <n v="0"/>
    <n v="0"/>
    <m/>
    <m/>
    <s v="Not Started"/>
    <s v="No"/>
    <s v="No"/>
    <s v="No"/>
    <n v="0"/>
    <n v="0"/>
    <m/>
    <m/>
    <s v="Not Started"/>
    <s v="No"/>
    <s v="No"/>
    <s v="No"/>
    <m/>
    <m/>
    <n v="0"/>
    <m/>
    <m/>
  </r>
  <r>
    <s v="PR.AT-02 Ex2"/>
    <x v="2"/>
    <s v="Safeguards to manage the organization's cybersecurity risks are used"/>
    <x v="6"/>
    <s v="Awareness and Training (PR.AT)"/>
    <s v="The organization's personnel are provided with cybersecurity awareness and training so that they can perform their cybersecurity-related tasks"/>
    <s v="PR.AT-02"/>
    <s v="Individuals in specialized roles are provided with awareness and training so that they possess the knowledge and skills to perform relevant tasks with cybersecurity risks in mind"/>
    <s v="Ex2: Provide role-based cybersecurity awareness and training to all those in specialized roles, including contractors, partners, suppliers, and other third parties"/>
    <s v="AT-03"/>
    <x v="1"/>
    <m/>
    <m/>
    <m/>
    <s v="AT-03"/>
    <m/>
    <n v="0"/>
    <n v="0"/>
    <m/>
    <m/>
    <s v="Not Started"/>
    <s v="No"/>
    <s v="No"/>
    <s v="No"/>
    <n v="0"/>
    <n v="0"/>
    <m/>
    <m/>
    <s v="Not Started"/>
    <s v="No"/>
    <s v="No"/>
    <s v="No"/>
    <n v="0"/>
    <n v="0"/>
    <m/>
    <m/>
    <s v="Not Started"/>
    <s v="No"/>
    <s v="No"/>
    <s v="No"/>
    <n v="0"/>
    <n v="0"/>
    <m/>
    <m/>
    <s v="Not Started"/>
    <s v="No"/>
    <s v="No"/>
    <s v="No"/>
    <m/>
    <m/>
    <n v="0"/>
    <m/>
    <m/>
  </r>
  <r>
    <s v="PR.AT-02 Ex3"/>
    <x v="2"/>
    <s v="Safeguards to manage the organization's cybersecurity risks are used"/>
    <x v="6"/>
    <s v="Awareness and Training (PR.AT)"/>
    <s v="The organization's personnel are provided with cybersecurity awareness and training so that they can perform their cybersecurity-related tasks"/>
    <s v="PR.AT-02"/>
    <s v="Individuals in specialized roles are provided with awareness and training so that they possess the knowledge and skills to perform relevant tasks with cybersecurity risks in mind"/>
    <s v="Ex3: Periodically assess or test users on their understanding of cybersecurity practices for their specialized roles"/>
    <s v="AT-03"/>
    <x v="1"/>
    <m/>
    <m/>
    <m/>
    <s v="AT-03"/>
    <m/>
    <n v="0"/>
    <n v="0"/>
    <m/>
    <m/>
    <s v="Not Started"/>
    <s v="No"/>
    <s v="No"/>
    <s v="No"/>
    <n v="0"/>
    <n v="0"/>
    <m/>
    <m/>
    <s v="Not Started"/>
    <s v="No"/>
    <s v="No"/>
    <s v="No"/>
    <n v="0"/>
    <n v="0"/>
    <m/>
    <m/>
    <s v="Not Started"/>
    <s v="No"/>
    <s v="No"/>
    <s v="No"/>
    <n v="0"/>
    <n v="0"/>
    <m/>
    <m/>
    <s v="Not Started"/>
    <s v="No"/>
    <s v="No"/>
    <s v="No"/>
    <m/>
    <m/>
    <n v="0"/>
    <m/>
    <m/>
  </r>
  <r>
    <s v="PR.AT-02 Ex4"/>
    <x v="2"/>
    <s v="Safeguards to manage the organization's cybersecurity risks are used"/>
    <x v="6"/>
    <s v="Awareness and Training (PR.AT)"/>
    <s v="The organization's personnel are provided with cybersecurity awareness and training so that they can perform their cybersecurity-related tasks"/>
    <s v="PR.AT-02"/>
    <s v="Individuals in specialized roles are provided with awareness and training so that they possess the knowledge and skills to perform relevant tasks with cybersecurity risks in mind"/>
    <s v="Ex4: Require annual refreshers to reinforce existing practices and introduce new practices"/>
    <s v="AT-03"/>
    <x v="1"/>
    <m/>
    <m/>
    <m/>
    <s v="AT-03"/>
    <m/>
    <n v="0"/>
    <n v="0"/>
    <m/>
    <m/>
    <s v="Not Started"/>
    <s v="No"/>
    <s v="No"/>
    <s v="No"/>
    <n v="0"/>
    <n v="0"/>
    <m/>
    <m/>
    <s v="Not Started"/>
    <s v="No"/>
    <s v="No"/>
    <s v="No"/>
    <n v="0"/>
    <n v="0"/>
    <m/>
    <m/>
    <s v="Not Started"/>
    <s v="No"/>
    <s v="No"/>
    <s v="No"/>
    <n v="0"/>
    <n v="0"/>
    <m/>
    <m/>
    <s v="Not Started"/>
    <s v="No"/>
    <s v="No"/>
    <s v="No"/>
    <m/>
    <m/>
    <n v="0"/>
    <m/>
    <m/>
  </r>
  <r>
    <s v="PR.DS-01 Ex1"/>
    <x v="2"/>
    <s v="Safeguards to manage the organization's cybersecurity risks are used"/>
    <x v="11"/>
    <s v="Data Security (PR.DS)"/>
    <s v="Data are managed consistent with the organization's risk strategy to protect the confidentiality, integrity, and availability of information"/>
    <s v="PR.DS-01"/>
    <s v="The confidentiality, integrity, and availability of data-at-rest are protected"/>
    <s v="Ex1: Use encryption, digital signatures, and cryptographic hashes to protect the confidentiality and integrity of stored data in files, databases, virtual machine disk images, container images, and other resources"/>
    <s v="CA-03,CP-09,MP-08,SC-04,SC-07,SC-12,SC-13,SC-28,SC-32,SC-39,SC-43,SI-03,SI-04,SI-07"/>
    <x v="1"/>
    <m/>
    <m/>
    <m/>
    <s v="CA-03,CP-09,MP-08,SC-04,SC-07,SC-12,SC-13,SC-28,SC-32,SC-39,SC-43,SI-03,SI-04,SI-07"/>
    <m/>
    <n v="0"/>
    <n v="0"/>
    <m/>
    <m/>
    <s v="Not Started"/>
    <s v="No"/>
    <s v="No"/>
    <s v="No"/>
    <n v="0"/>
    <n v="0"/>
    <m/>
    <m/>
    <s v="Not Started"/>
    <s v="No"/>
    <s v="No"/>
    <s v="No"/>
    <n v="0"/>
    <n v="0"/>
    <m/>
    <m/>
    <s v="Not Started"/>
    <s v="No"/>
    <s v="No"/>
    <s v="No"/>
    <n v="0"/>
    <n v="0"/>
    <m/>
    <m/>
    <s v="Not Started"/>
    <s v="No"/>
    <s v="No"/>
    <s v="No"/>
    <m/>
    <m/>
    <n v="0"/>
    <m/>
    <m/>
  </r>
  <r>
    <s v="PR.DS-01 Ex2"/>
    <x v="2"/>
    <s v="Safeguards to manage the organization's cybersecurity risks are used"/>
    <x v="11"/>
    <s v="Data Security (PR.DS)"/>
    <s v="Data are managed consistent with the organization's risk strategy to protect the confidentiality, integrity, and availability of information"/>
    <s v="PR.DS-01"/>
    <s v="The confidentiality, integrity, and availability of data-at-rest are protected"/>
    <s v="Ex2: Use full disk encryption to protect data stored on user endpoints"/>
    <s v="CA-03,CP-09,MP-08,SC-04,SC-07,SC-12,SC-13,SC-28,SC-32,SC-39,SC-43,SI-03,SI-04,SI-07"/>
    <x v="1"/>
    <m/>
    <m/>
    <m/>
    <s v="CA-03,CP-09,MP-08,SC-04,SC-07,SC-12,SC-13,SC-28,SC-32,SC-39,SC-43,SI-03,SI-04,SI-07"/>
    <m/>
    <n v="0"/>
    <n v="0"/>
    <m/>
    <m/>
    <s v="Not Started"/>
    <s v="No"/>
    <s v="No"/>
    <s v="No"/>
    <n v="0"/>
    <n v="0"/>
    <m/>
    <m/>
    <s v="Not Started"/>
    <s v="No"/>
    <s v="No"/>
    <s v="No"/>
    <n v="0"/>
    <n v="0"/>
    <m/>
    <m/>
    <s v="Not Started"/>
    <s v="No"/>
    <s v="No"/>
    <s v="No"/>
    <n v="0"/>
    <n v="0"/>
    <m/>
    <m/>
    <s v="Not Started"/>
    <s v="No"/>
    <s v="No"/>
    <s v="No"/>
    <m/>
    <m/>
    <n v="0"/>
    <m/>
    <m/>
  </r>
  <r>
    <s v="PR.DS-01 Ex3"/>
    <x v="2"/>
    <s v="Safeguards to manage the organization's cybersecurity risks are used"/>
    <x v="11"/>
    <s v="Data Security (PR.DS)"/>
    <s v="Data are managed consistent with the organization's risk strategy to protect the confidentiality, integrity, and availability of information"/>
    <s v="PR.DS-01"/>
    <s v="The confidentiality, integrity, and availability of data-at-rest are protected"/>
    <s v="Ex3: Confirm the integrity of software by validating signatures"/>
    <s v="CA-03,CP-09,MP-08,SC-04,SC-07,SC-12,SC-13,SC-28,SC-32,SC-39,SC-43,SI-03,SI-04,SI-07"/>
    <x v="1"/>
    <m/>
    <m/>
    <m/>
    <s v="CA-03,CP-09,MP-08,SC-04,SC-07,SC-12,SC-13,SC-28,SC-32,SC-39,SC-43,SI-03,SI-04,SI-07"/>
    <m/>
    <n v="0"/>
    <n v="0"/>
    <m/>
    <m/>
    <s v="Not Started"/>
    <s v="No"/>
    <s v="No"/>
    <s v="No"/>
    <n v="0"/>
    <n v="0"/>
    <m/>
    <m/>
    <s v="Not Started"/>
    <s v="No"/>
    <s v="No"/>
    <s v="No"/>
    <n v="0"/>
    <n v="0"/>
    <m/>
    <m/>
    <s v="Not Started"/>
    <s v="No"/>
    <s v="No"/>
    <s v="No"/>
    <n v="0"/>
    <n v="0"/>
    <m/>
    <m/>
    <s v="Not Started"/>
    <s v="No"/>
    <s v="No"/>
    <s v="No"/>
    <m/>
    <m/>
    <n v="0"/>
    <m/>
    <m/>
  </r>
  <r>
    <s v="PR.DS-01 Ex5"/>
    <x v="2"/>
    <s v="Safeguards to manage the organization's cybersecurity risks are used"/>
    <x v="11"/>
    <s v="Data Security (PR.DS)"/>
    <s v="Data are managed consistent with the organization's risk strategy to protect the confidentiality, integrity, and availability of information"/>
    <s v="PR.DS-01"/>
    <s v="The confidentiality, integrity, and availability of data-at-rest are protected"/>
    <s v="Ex5: Physically secure removable media containing unencrypted sensitive information, such as within locked offices or file cabinets"/>
    <s v="CA-03,CP-09,MP-08,SC-04,SC-07,SC-12,SC-13,SC-28,SC-32,SC-39,SC-43,SI-03,SI-04,SI-07"/>
    <x v="1"/>
    <m/>
    <m/>
    <m/>
    <s v="CA-03,CP-09,MP-08,SC-04,SC-07,SC-12,SC-13,SC-28,SC-32,SC-39,SC-43,SI-03,SI-04,SI-07"/>
    <m/>
    <n v="0"/>
    <n v="0"/>
    <m/>
    <m/>
    <s v="Not Started"/>
    <s v="No"/>
    <s v="No"/>
    <s v="No"/>
    <n v="0"/>
    <n v="0"/>
    <m/>
    <m/>
    <s v="Not Started"/>
    <s v="No"/>
    <s v="No"/>
    <s v="No"/>
    <n v="0"/>
    <n v="0"/>
    <m/>
    <m/>
    <s v="Not Started"/>
    <s v="No"/>
    <s v="No"/>
    <s v="No"/>
    <n v="0"/>
    <n v="0"/>
    <m/>
    <m/>
    <s v="Not Started"/>
    <s v="No"/>
    <s v="No"/>
    <s v="No"/>
    <m/>
    <m/>
    <n v="0"/>
    <m/>
    <m/>
  </r>
  <r>
    <s v="PR.DS-02 Ex1"/>
    <x v="2"/>
    <s v="Safeguards to manage the organization's cybersecurity risks are used"/>
    <x v="11"/>
    <s v="Data Security (PR.DS)"/>
    <s v="Data are managed consistent with the organization's risk strategy to protect the confidentiality, integrity, and availability of information"/>
    <s v="PR.DS-02"/>
    <s v="The confidentiality, integrity, and availability of data-in-transit are protected"/>
    <s v="Ex1: Use encryption, digital signatures, and cryptographic hashes to protect the confidentiality and integrity of network communications"/>
    <s v="AU-16,CA-03,SC-04,SC-07,SC-08,SC-11,SC-12,SC-13,SC-16,SC-40,SC-43,SI-03,SI-04,SI-07"/>
    <x v="1"/>
    <m/>
    <m/>
    <m/>
    <s v="AU-16,CA-03,SC-04,SC-07,SC-08,SC-11,SC-12,SC-13,SC-16,SC-40,SC-43,SI-03,SI-04,SI-07"/>
    <m/>
    <n v="0"/>
    <n v="0"/>
    <m/>
    <m/>
    <s v="Not Started"/>
    <s v="No"/>
    <s v="No"/>
    <s v="No"/>
    <n v="0"/>
    <n v="0"/>
    <m/>
    <m/>
    <s v="Not Started"/>
    <s v="No"/>
    <s v="No"/>
    <s v="No"/>
    <n v="0"/>
    <n v="0"/>
    <m/>
    <m/>
    <s v="Not Started"/>
    <s v="No"/>
    <s v="No"/>
    <s v="No"/>
    <n v="0"/>
    <n v="0"/>
    <m/>
    <m/>
    <s v="Not Started"/>
    <s v="No"/>
    <s v="No"/>
    <s v="No"/>
    <m/>
    <m/>
    <n v="0"/>
    <m/>
    <m/>
  </r>
  <r>
    <s v="PR.DS-02 Ex2"/>
    <x v="2"/>
    <s v="Safeguards to manage the organization's cybersecurity risks are used"/>
    <x v="11"/>
    <s v="Data Security (PR.DS)"/>
    <s v="Data are managed consistent with the organization's risk strategy to protect the confidentiality, integrity, and availability of information"/>
    <s v="PR.DS-02"/>
    <s v="The confidentiality, integrity, and availability of data-in-transit are protected"/>
    <s v="Ex2: Automatically encrypt or block outbound emails and other communications that contain sensitive data, depending on the data classification"/>
    <s v="AU-16,CA-03,SC-04,SC-07,SC-08,SC-11,SC-12,SC-13,SC-16,SC-40,SC-43,SI-03,SI-04,SI-07"/>
    <x v="1"/>
    <m/>
    <m/>
    <m/>
    <s v="AU-16,CA-03,SC-04,SC-07,SC-08,SC-11,SC-12,SC-13,SC-16,SC-40,SC-43,SI-03,SI-04,SI-07"/>
    <m/>
    <n v="0"/>
    <n v="0"/>
    <m/>
    <m/>
    <s v="Not Started"/>
    <s v="No"/>
    <s v="No"/>
    <s v="No"/>
    <n v="0"/>
    <n v="0"/>
    <m/>
    <m/>
    <s v="Not Started"/>
    <s v="No"/>
    <s v="No"/>
    <s v="No"/>
    <n v="0"/>
    <n v="0"/>
    <m/>
    <m/>
    <s v="Not Started"/>
    <s v="No"/>
    <s v="No"/>
    <s v="No"/>
    <n v="0"/>
    <n v="0"/>
    <m/>
    <m/>
    <s v="Not Started"/>
    <s v="No"/>
    <s v="No"/>
    <s v="No"/>
    <m/>
    <m/>
    <n v="0"/>
    <m/>
    <m/>
  </r>
  <r>
    <s v="PR.DS-02 Ex3"/>
    <x v="2"/>
    <s v="Safeguards to manage the organization's cybersecurity risks are used"/>
    <x v="11"/>
    <s v="Data Security (PR.DS)"/>
    <s v="Data are managed consistent with the organization's risk strategy to protect the confidentiality, integrity, and availability of information"/>
    <s v="PR.DS-02"/>
    <s v="The confidentiality, integrity, and availability of data-in-transit are protected"/>
    <s v="Ex3: Block access to personal email, file sharing, file storage services, and other personal communications applications and services from organizational systems and networks"/>
    <s v="AU-16,CA-03,SC-04,SC-07,SC-08,SC-11,SC-12,SC-13,SC-16,SC-40,SC-43,SI-03,SI-04,SI-07"/>
    <x v="1"/>
    <m/>
    <m/>
    <m/>
    <s v="AU-16,CA-03,SC-04,SC-07,SC-08,SC-11,SC-12,SC-13,SC-16,SC-40,SC-43,SI-03,SI-04,SI-07"/>
    <m/>
    <n v="0"/>
    <n v="0"/>
    <m/>
    <m/>
    <s v="Not Started"/>
    <s v="No"/>
    <s v="No"/>
    <s v="No"/>
    <n v="0"/>
    <n v="0"/>
    <m/>
    <m/>
    <s v="Not Started"/>
    <s v="No"/>
    <s v="No"/>
    <s v="No"/>
    <n v="0"/>
    <n v="0"/>
    <m/>
    <m/>
    <s v="Not Started"/>
    <s v="No"/>
    <s v="No"/>
    <s v="No"/>
    <n v="0"/>
    <n v="0"/>
    <m/>
    <m/>
    <s v="Not Started"/>
    <s v="No"/>
    <s v="No"/>
    <s v="No"/>
    <m/>
    <m/>
    <n v="0"/>
    <m/>
    <m/>
  </r>
  <r>
    <s v="PR.DS-02 Ex4"/>
    <x v="2"/>
    <s v="Safeguards to manage the organization's cybersecurity risks are used"/>
    <x v="11"/>
    <s v="Data Security (PR.DS)"/>
    <s v="Data are managed consistent with the organization's risk strategy to protect the confidentiality, integrity, and availability of information"/>
    <s v="PR.DS-02"/>
    <s v="The confidentiality, integrity, and availability of data-in-transit are protected"/>
    <s v="Ex4: Prevent reuse of sensitive data from production environments (e.g., customer records) in development, testing, and other non-production environments"/>
    <s v="AU-16,CA-03,SC-04,SC-07,SC-08,SC-11,SC-12,SC-13,SC-16,SC-40,SC-43,SI-03,SI-04,SI-07"/>
    <x v="1"/>
    <m/>
    <m/>
    <m/>
    <s v="AU-16,CA-03,SC-04,SC-07,SC-08,SC-11,SC-12,SC-13,SC-16,SC-40,SC-43,SI-03,SI-04,SI-07"/>
    <m/>
    <n v="0"/>
    <n v="0"/>
    <m/>
    <m/>
    <s v="Not Started"/>
    <s v="No"/>
    <s v="No"/>
    <s v="No"/>
    <n v="0"/>
    <n v="0"/>
    <m/>
    <m/>
    <s v="Not Started"/>
    <s v="No"/>
    <s v="No"/>
    <s v="No"/>
    <n v="0"/>
    <n v="0"/>
    <m/>
    <m/>
    <s v="Not Started"/>
    <s v="No"/>
    <s v="No"/>
    <s v="No"/>
    <n v="0"/>
    <n v="0"/>
    <m/>
    <m/>
    <s v="Not Started"/>
    <s v="No"/>
    <s v="No"/>
    <s v="No"/>
    <m/>
    <m/>
    <n v="0"/>
    <m/>
    <m/>
  </r>
  <r>
    <s v="PR.DS-10 Ex2"/>
    <x v="2"/>
    <s v="Safeguards to manage the organization's cybersecurity risks are used"/>
    <x v="11"/>
    <s v="Data Security (PR.DS)"/>
    <s v="Data are managed consistent with the organization's risk strategy to protect the confidentiality, integrity, and availability of information"/>
    <s v="PR.DS-10"/>
    <s v="The confidentiality, integrity, and availability of data-in-use are protected"/>
    <s v="Ex2: Protect data in use from access by other users and processes of the same platform"/>
    <s v="AC-02,AC-03,AC-04,AU-09,AU-13,CA-03,CP-09,SA-08,SC-04,SC-07,SC-11,SC-13,SC-24,SC-32,SC-39,SC-40,SC-43,SI-03,SI-04,SI-07,SI-10,SI-16"/>
    <x v="1"/>
    <m/>
    <m/>
    <m/>
    <s v="AC-02,AC-03,AC-04,AU-09,AU-13,CA-03,CP-09,SA-08,SC-04,SC-07,SC-11,SC-13,SC-24,SC-32,SC-39,SC-40,SC-43,SI-03,SI-04,SI-07,SI-10,SI-16"/>
    <m/>
    <n v="0"/>
    <n v="0"/>
    <m/>
    <m/>
    <s v="Not Started"/>
    <s v="No"/>
    <s v="No"/>
    <s v="No"/>
    <n v="0"/>
    <n v="0"/>
    <m/>
    <m/>
    <s v="Not Started"/>
    <s v="No"/>
    <s v="No"/>
    <s v="No"/>
    <n v="0"/>
    <n v="0"/>
    <m/>
    <m/>
    <s v="Not Started"/>
    <s v="No"/>
    <s v="No"/>
    <s v="No"/>
    <n v="0"/>
    <n v="0"/>
    <m/>
    <m/>
    <s v="Not Started"/>
    <s v="No"/>
    <s v="No"/>
    <s v="No"/>
    <m/>
    <m/>
    <n v="0"/>
    <m/>
    <m/>
  </r>
  <r>
    <s v="PR.DS-11 Ex1"/>
    <x v="2"/>
    <s v="Safeguards to manage the organization's cybersecurity risks are used"/>
    <x v="11"/>
    <s v="Data Security (PR.DS)"/>
    <s v="Data are managed consistent with the organization's risk strategy to protect the confidentiality, integrity, and availability of information"/>
    <s v="PR.DS-11"/>
    <s v="Backups of data are created, protected, maintained, and tested"/>
    <s v="Ex1: Continuously back up critical data in near-real-time, and back up other data frequently at agreed-upon schedules"/>
    <s v="CP-06,CP-09"/>
    <x v="1"/>
    <m/>
    <m/>
    <m/>
    <s v="CP-06,CP-09"/>
    <m/>
    <n v="0"/>
    <n v="0"/>
    <m/>
    <m/>
    <s v="Not Started"/>
    <s v="No"/>
    <s v="No"/>
    <s v="No"/>
    <n v="0"/>
    <n v="0"/>
    <m/>
    <m/>
    <s v="Not Started"/>
    <s v="No"/>
    <s v="No"/>
    <s v="No"/>
    <n v="0"/>
    <n v="0"/>
    <m/>
    <m/>
    <s v="Not Started"/>
    <s v="No"/>
    <s v="No"/>
    <s v="No"/>
    <n v="0"/>
    <n v="0"/>
    <m/>
    <m/>
    <s v="Not Started"/>
    <s v="No"/>
    <s v="No"/>
    <s v="No"/>
    <m/>
    <m/>
    <n v="0"/>
    <m/>
    <m/>
  </r>
  <r>
    <s v="PR.DS-11 Ex2"/>
    <x v="2"/>
    <s v="Safeguards to manage the organization's cybersecurity risks are used"/>
    <x v="11"/>
    <s v="Data Security (PR.DS)"/>
    <s v="Data are managed consistent with the organization's risk strategy to protect the confidentiality, integrity, and availability of information"/>
    <s v="PR.DS-11"/>
    <s v="Backups of data are created, protected, maintained, and tested"/>
    <s v="Ex2: Test backups and restores for all types of data sources at least annually"/>
    <s v="CP-06,CP-09"/>
    <x v="1"/>
    <m/>
    <m/>
    <m/>
    <s v="CP-06,CP-09"/>
    <m/>
    <n v="0"/>
    <n v="0"/>
    <m/>
    <m/>
    <s v="Not Started"/>
    <s v="No"/>
    <s v="No"/>
    <s v="No"/>
    <n v="0"/>
    <n v="0"/>
    <m/>
    <m/>
    <s v="Not Started"/>
    <s v="No"/>
    <s v="No"/>
    <s v="No"/>
    <n v="0"/>
    <n v="0"/>
    <m/>
    <m/>
    <s v="Not Started"/>
    <s v="No"/>
    <s v="No"/>
    <s v="No"/>
    <n v="0"/>
    <n v="0"/>
    <m/>
    <m/>
    <s v="Not Started"/>
    <s v="No"/>
    <s v="No"/>
    <s v="No"/>
    <m/>
    <m/>
    <n v="0"/>
    <m/>
    <m/>
  </r>
  <r>
    <s v="PR.DS-11 Ex3"/>
    <x v="2"/>
    <s v="Safeguards to manage the organization's cybersecurity risks are used"/>
    <x v="11"/>
    <s v="Data Security (PR.DS)"/>
    <s v="Data are managed consistent with the organization's risk strategy to protect the confidentiality, integrity, and availability of information"/>
    <s v="PR.DS-11"/>
    <s v="Backups of data are created, protected, maintained, and tested"/>
    <s v="Ex3: Securely store some backups offline and offsite so that an incident or disaster will not damage them"/>
    <s v="CP-06,CP-09"/>
    <x v="1"/>
    <m/>
    <m/>
    <m/>
    <s v="CP-06,CP-09"/>
    <m/>
    <n v="0"/>
    <n v="0"/>
    <m/>
    <m/>
    <s v="Not Started"/>
    <s v="No"/>
    <s v="No"/>
    <s v="No"/>
    <n v="0"/>
    <n v="0"/>
    <m/>
    <m/>
    <s v="Not Started"/>
    <s v="No"/>
    <s v="No"/>
    <s v="No"/>
    <n v="0"/>
    <n v="0"/>
    <m/>
    <m/>
    <s v="Not Started"/>
    <s v="No"/>
    <s v="No"/>
    <s v="No"/>
    <n v="0"/>
    <n v="0"/>
    <m/>
    <m/>
    <s v="Not Started"/>
    <s v="No"/>
    <s v="No"/>
    <s v="No"/>
    <m/>
    <m/>
    <n v="0"/>
    <m/>
    <m/>
  </r>
  <r>
    <s v="PR.DS-11 Ex4"/>
    <x v="2"/>
    <s v="Safeguards to manage the organization's cybersecurity risks are used"/>
    <x v="11"/>
    <s v="Data Security (PR.DS)"/>
    <s v="Data are managed consistent with the organization's risk strategy to protect the confidentiality, integrity, and availability of information"/>
    <s v="PR.DS-11"/>
    <s v="Backups of data are created, protected, maintained, and tested"/>
    <s v="Ex4: Enforce geographic separation and geolocation restrictions for data backup storage"/>
    <s v="CP-06,CP-09"/>
    <x v="1"/>
    <m/>
    <m/>
    <m/>
    <s v="CP-06,CP-09"/>
    <m/>
    <n v="0"/>
    <n v="0"/>
    <m/>
    <m/>
    <s v="Not Started"/>
    <s v="No"/>
    <s v="No"/>
    <s v="No"/>
    <n v="0"/>
    <n v="0"/>
    <m/>
    <m/>
    <s v="Not Started"/>
    <s v="No"/>
    <s v="No"/>
    <s v="No"/>
    <n v="0"/>
    <n v="0"/>
    <m/>
    <m/>
    <s v="Not Started"/>
    <s v="No"/>
    <s v="No"/>
    <s v="No"/>
    <n v="0"/>
    <n v="0"/>
    <m/>
    <m/>
    <s v="Not Started"/>
    <s v="No"/>
    <s v="No"/>
    <s v="No"/>
    <m/>
    <m/>
    <n v="0"/>
    <m/>
    <m/>
  </r>
  <r>
    <s v="PR.IR-01 Ex1"/>
    <x v="2"/>
    <s v="Safeguards to manage the organization's cybersecurity risks are used"/>
    <x v="7"/>
    <s v="Technology Infrastructure Resilience (PR.IR)"/>
    <s v="Security architectures are managed with the organization's risk strategy to protect asset confidentiality, integrity, and availability, and organizational resilience"/>
    <s v="PR.IR-01"/>
    <s v="Networks and environments are protected from unauthorized logical access and usage"/>
    <s v="Ex1: Logically segment organization networks and cloud-based platforms according to trust boundaries and platform types (e.g., IT, IoT, OT, mobile, guests), and permit required communications only between segments"/>
    <s v="AC-03,AC-04,SC-04,SC-05,SC-07"/>
    <x v="1"/>
    <m/>
    <m/>
    <m/>
    <s v="AC-03,AC-04,SC-04,SC-05,SC-07"/>
    <m/>
    <n v="0"/>
    <n v="0"/>
    <m/>
    <m/>
    <s v="Not Started"/>
    <s v="No"/>
    <s v="No"/>
    <s v="No"/>
    <n v="0"/>
    <n v="0"/>
    <m/>
    <m/>
    <s v="Not Started"/>
    <s v="No"/>
    <s v="No"/>
    <s v="No"/>
    <n v="0"/>
    <n v="0"/>
    <m/>
    <m/>
    <s v="Not Started"/>
    <s v="No"/>
    <s v="No"/>
    <s v="No"/>
    <n v="0"/>
    <n v="0"/>
    <m/>
    <m/>
    <s v="Not Started"/>
    <s v="No"/>
    <s v="No"/>
    <s v="No"/>
    <m/>
    <m/>
    <n v="0"/>
    <m/>
    <m/>
  </r>
  <r>
    <s v="PR.IR-01 Ex2"/>
    <x v="2"/>
    <s v="Safeguards to manage the organization's cybersecurity risks are used"/>
    <x v="7"/>
    <s v="Technology Infrastructure Resilience (PR.IR)"/>
    <s v="Security architectures are managed with the organization's risk strategy to protect asset confidentiality, integrity, and availability, and organizational resilience"/>
    <s v="PR.IR-01"/>
    <s v="Networks and environments are protected from unauthorized logical access and usage"/>
    <s v="Ex2: Logically segment organization networks from external networks, and permit only necessary communications to enter the organization's networks from the external networks"/>
    <s v="AC-03,AC-04,SC-04,SC-05,SC-07"/>
    <x v="1"/>
    <m/>
    <m/>
    <m/>
    <s v="AC-03,AC-04,SC-04,SC-05,SC-07"/>
    <m/>
    <n v="0"/>
    <n v="0"/>
    <m/>
    <m/>
    <s v="Not Started"/>
    <s v="No"/>
    <s v="No"/>
    <s v="No"/>
    <n v="0"/>
    <n v="0"/>
    <m/>
    <m/>
    <s v="Not Started"/>
    <s v="No"/>
    <s v="No"/>
    <s v="No"/>
    <n v="0"/>
    <n v="0"/>
    <m/>
    <m/>
    <s v="Not Started"/>
    <s v="No"/>
    <s v="No"/>
    <s v="No"/>
    <n v="0"/>
    <n v="0"/>
    <m/>
    <m/>
    <s v="Not Started"/>
    <s v="No"/>
    <s v="No"/>
    <s v="No"/>
    <m/>
    <m/>
    <n v="0"/>
    <m/>
    <m/>
  </r>
  <r>
    <s v="PR.IR-01 Ex3"/>
    <x v="2"/>
    <s v="Safeguards to manage the organization's cybersecurity risks are used"/>
    <x v="7"/>
    <s v="Technology Infrastructure Resilience (PR.IR)"/>
    <s v="Security architectures are managed with the organization's risk strategy to protect asset confidentiality, integrity, and availability, and organizational resilience"/>
    <s v="PR.IR-01"/>
    <s v="Networks and environments are protected from unauthorized logical access and usage"/>
    <s v="Ex3: Implement zero trust architectures to restrict network access to each resource to the minimum necessary"/>
    <s v="AC-03,AC-04,SC-04,SC-05,SC-07"/>
    <x v="1"/>
    <m/>
    <m/>
    <m/>
    <s v="AC-03,AC-04,SC-04,SC-05,SC-07"/>
    <m/>
    <n v="0"/>
    <n v="0"/>
    <m/>
    <m/>
    <s v="Not Started"/>
    <s v="No"/>
    <s v="No"/>
    <s v="No"/>
    <n v="0"/>
    <n v="0"/>
    <m/>
    <m/>
    <s v="Not Started"/>
    <s v="No"/>
    <s v="No"/>
    <s v="No"/>
    <n v="0"/>
    <n v="0"/>
    <m/>
    <m/>
    <s v="Not Started"/>
    <s v="No"/>
    <s v="No"/>
    <s v="No"/>
    <n v="0"/>
    <n v="0"/>
    <m/>
    <m/>
    <s v="Not Started"/>
    <s v="No"/>
    <s v="No"/>
    <s v="No"/>
    <m/>
    <m/>
    <n v="0"/>
    <m/>
    <m/>
  </r>
  <r>
    <s v="PR.IR-01 Ex4"/>
    <x v="2"/>
    <s v="Safeguards to manage the organization's cybersecurity risks are used"/>
    <x v="7"/>
    <s v="Technology Infrastructure Resilience (PR.IR)"/>
    <s v="Security architectures are managed with the organization's risk strategy to protect asset confidentiality, integrity, and availability, and organizational resilience"/>
    <s v="PR.IR-01"/>
    <s v="Networks and environments are protected from unauthorized logical access and usage"/>
    <s v="Ex4: Check the cyber health of endpoints before allowing them to access and use production resources"/>
    <s v="AC-03,AC-04,SC-04,SC-05,SC-07"/>
    <x v="1"/>
    <m/>
    <m/>
    <m/>
    <s v="AC-03,AC-04,SC-04,SC-05,SC-07"/>
    <m/>
    <n v="0"/>
    <n v="0"/>
    <m/>
    <m/>
    <s v="Not Started"/>
    <s v="No"/>
    <s v="No"/>
    <s v="No"/>
    <n v="0"/>
    <n v="0"/>
    <m/>
    <m/>
    <s v="Not Started"/>
    <s v="No"/>
    <s v="No"/>
    <s v="No"/>
    <n v="0"/>
    <n v="0"/>
    <m/>
    <m/>
    <s v="Not Started"/>
    <s v="No"/>
    <s v="No"/>
    <s v="No"/>
    <n v="0"/>
    <n v="0"/>
    <m/>
    <m/>
    <s v="Not Started"/>
    <s v="No"/>
    <s v="No"/>
    <s v="No"/>
    <m/>
    <m/>
    <n v="0"/>
    <m/>
    <m/>
  </r>
  <r>
    <s v="PR.IR-02 Ex2"/>
    <x v="2"/>
    <s v="Safeguards to manage the organization's cybersecurity risks are used"/>
    <x v="7"/>
    <s v="Technology Infrastructure Resilience (PR.IR)"/>
    <s v="Security architectures are managed with the organization's risk strategy to protect asset confidentiality, integrity, and availability, and organizational resilience"/>
    <s v="PR.IR-02"/>
    <s v="The organization's technology assets are protected from environmental threats"/>
    <s v="Ex2: Include protection from environmental threats and provisions for adequate operating infrastructure in requirements for service providers that operate systems on the organization's behalf"/>
    <s v="CP-02,PE-09,PE-10,PE-11,PE-12,PE-13,PE-14,PE-15,PE-18,PE-23"/>
    <x v="1"/>
    <m/>
    <m/>
    <m/>
    <s v="CP-02,PE-09,PE-10,PE-11,PE-12,PE-13,PE-14,PE-15,PE-18,PE-23"/>
    <m/>
    <n v="0"/>
    <n v="0"/>
    <m/>
    <m/>
    <s v="Not Started"/>
    <s v="No"/>
    <s v="No"/>
    <s v="No"/>
    <n v="0"/>
    <n v="0"/>
    <m/>
    <m/>
    <s v="Not Started"/>
    <s v="No"/>
    <s v="No"/>
    <s v="No"/>
    <n v="0"/>
    <n v="0"/>
    <m/>
    <m/>
    <s v="Not Started"/>
    <s v="No"/>
    <s v="No"/>
    <s v="No"/>
    <n v="0"/>
    <n v="0"/>
    <m/>
    <m/>
    <s v="Not Started"/>
    <s v="No"/>
    <s v="No"/>
    <s v="No"/>
    <m/>
    <m/>
    <n v="0"/>
    <m/>
    <m/>
  </r>
  <r>
    <s v="PR.IR-03 Ex1"/>
    <x v="2"/>
    <s v="Safeguards to manage the organization's cybersecurity risks are used"/>
    <x v="7"/>
    <s v="Technology Infrastructure Resilience (PR.IR)"/>
    <s v="Security architectures are managed with the organization's risk strategy to protect asset confidentiality, integrity, and availability, and organizational resilience"/>
    <s v="PR.IR-03"/>
    <s v="Mechanisms are implemented to achieve resilience requirements in normal and adverse situations"/>
    <s v="Ex1: Avoid single points of failure in systems and infrastructure"/>
    <s v="CP,IR,SA-08,SC-06,SC-24,SC-36,SC-39,SI-13"/>
    <x v="1"/>
    <m/>
    <m/>
    <m/>
    <s v="CP,IR,SA-08,SC-06,SC-24,SC-36,SC-39,SI-13"/>
    <m/>
    <n v="0"/>
    <n v="0"/>
    <m/>
    <m/>
    <s v="Not Started"/>
    <s v="No"/>
    <s v="No"/>
    <s v="No"/>
    <n v="0"/>
    <n v="0"/>
    <m/>
    <m/>
    <s v="Not Started"/>
    <s v="No"/>
    <s v="No"/>
    <s v="No"/>
    <n v="0"/>
    <n v="0"/>
    <m/>
    <m/>
    <s v="Not Started"/>
    <s v="No"/>
    <s v="No"/>
    <s v="No"/>
    <n v="0"/>
    <n v="0"/>
    <m/>
    <m/>
    <s v="Not Started"/>
    <s v="No"/>
    <s v="No"/>
    <s v="No"/>
    <m/>
    <m/>
    <n v="0"/>
    <m/>
    <m/>
  </r>
  <r>
    <s v="PR.IR-03 Ex2"/>
    <x v="2"/>
    <s v="Safeguards to manage the organization's cybersecurity risks are used"/>
    <x v="7"/>
    <s v="Technology Infrastructure Resilience (PR.IR)"/>
    <s v="Security architectures are managed with the organization's risk strategy to protect asset confidentiality, integrity, and availability, and organizational resilience"/>
    <s v="PR.IR-03"/>
    <s v="Mechanisms are implemented to achieve resilience requirements in normal and adverse situations"/>
    <s v="Ex2: Use load balancing to increase capacity and improve reliability"/>
    <s v="CP,IR,SA-08,SC-06,SC-24,SC-36,SC-39,SI-13"/>
    <x v="1"/>
    <m/>
    <m/>
    <m/>
    <s v="CP,IR,SA-08,SC-06,SC-24,SC-36,SC-39,SI-13"/>
    <m/>
    <n v="0"/>
    <n v="0"/>
    <m/>
    <m/>
    <s v="Not Started"/>
    <s v="No"/>
    <s v="No"/>
    <s v="No"/>
    <n v="0"/>
    <n v="0"/>
    <m/>
    <m/>
    <s v="Not Started"/>
    <s v="No"/>
    <s v="No"/>
    <s v="No"/>
    <n v="0"/>
    <n v="0"/>
    <m/>
    <m/>
    <s v="Not Started"/>
    <s v="No"/>
    <s v="No"/>
    <s v="No"/>
    <n v="0"/>
    <n v="0"/>
    <m/>
    <m/>
    <s v="Not Started"/>
    <s v="No"/>
    <s v="No"/>
    <s v="No"/>
    <m/>
    <m/>
    <n v="0"/>
    <m/>
    <m/>
  </r>
  <r>
    <s v="PR.IR-04 Ex1"/>
    <x v="2"/>
    <s v="Safeguards to manage the organization's cybersecurity risks are used"/>
    <x v="7"/>
    <s v="Technology Infrastructure Resilience (PR.IR)"/>
    <s v="Security architectures are managed with the organization's risk strategy to protect asset confidentiality, integrity, and availability, and organizational resilience"/>
    <s v="PR.IR-04"/>
    <s v="Adequate resource capacity to ensure availability is maintained"/>
    <s v="Ex1: Monitor usage of storage, power, compute, network bandwidth, and other resources"/>
    <s v="CP-06,CP-07,CP-08,PM-03,PM-09"/>
    <x v="1"/>
    <m/>
    <m/>
    <m/>
    <s v="CP-06,CP-07,CP-08,PM-03,PM-09"/>
    <m/>
    <n v="0"/>
    <n v="0"/>
    <m/>
    <m/>
    <s v="Not Started"/>
    <s v="No"/>
    <s v="No"/>
    <s v="No"/>
    <n v="0"/>
    <n v="0"/>
    <m/>
    <m/>
    <s v="Not Started"/>
    <s v="No"/>
    <s v="No"/>
    <s v="No"/>
    <n v="0"/>
    <n v="0"/>
    <m/>
    <m/>
    <s v="Not Started"/>
    <s v="No"/>
    <s v="No"/>
    <s v="No"/>
    <n v="0"/>
    <n v="0"/>
    <m/>
    <m/>
    <s v="Not Started"/>
    <s v="No"/>
    <s v="No"/>
    <s v="No"/>
    <m/>
    <m/>
    <n v="0"/>
    <m/>
    <m/>
  </r>
  <r>
    <s v="PR.IR-04 Ex2"/>
    <x v="2"/>
    <s v="Safeguards to manage the organization's cybersecurity risks are used"/>
    <x v="7"/>
    <s v="Technology Infrastructure Resilience (PR.IR)"/>
    <s v="Security architectures are managed with the organization's risk strategy to protect asset confidentiality, integrity, and availability, and organizational resilience"/>
    <s v="PR.IR-04"/>
    <s v="Adequate resource capacity to ensure availability is maintained"/>
    <s v="Ex2: Forecast future needs, and scale resources accordingly"/>
    <s v="CP-06,CP-07,CP-08,PM-03,PM-09"/>
    <x v="1"/>
    <m/>
    <m/>
    <m/>
    <s v="CP-06,CP-07,CP-08,PM-03,PM-09"/>
    <m/>
    <n v="0"/>
    <n v="0"/>
    <m/>
    <m/>
    <s v="Not Started"/>
    <s v="No"/>
    <s v="No"/>
    <s v="No"/>
    <n v="0"/>
    <n v="0"/>
    <m/>
    <m/>
    <s v="Not Started"/>
    <s v="No"/>
    <s v="No"/>
    <s v="No"/>
    <n v="0"/>
    <n v="0"/>
    <m/>
    <m/>
    <s v="Not Started"/>
    <s v="No"/>
    <s v="No"/>
    <s v="No"/>
    <n v="0"/>
    <n v="0"/>
    <m/>
    <m/>
    <s v="Not Started"/>
    <s v="No"/>
    <s v="No"/>
    <s v="No"/>
    <m/>
    <m/>
    <n v="0"/>
    <m/>
    <m/>
  </r>
  <r>
    <s v="PR.PS-01 Ex2"/>
    <x v="2"/>
    <s v="Safeguards to manage the organization's cybersecurity risks are used"/>
    <x v="12"/>
    <s v="Platform Security (PR.PS)"/>
    <s v="The hardware, software (e.g., firmware, operating systems, applications), and services of physical and virtual platforms are managed consistent with the organization's risk strategy to protect their confidentiality, integrity, and availability"/>
    <s v="PR.PS-01"/>
    <s v="Configuration management practices are established and applied"/>
    <s v="Ex2: Review all default configuration settings that may potentially impact cybersecurity when installing or upgrading software"/>
    <s v="CM-01,CM-02,CM-03,CM-04,CM-05,CM-06,CM-07,CM-08,CM-09,CM-10,CM-11"/>
    <x v="1"/>
    <m/>
    <m/>
    <m/>
    <s v="CM-01,CM-02,CM-03,CM-04,CM-05,CM-06,CM-07,CM-08,CM-09,CM-10,CM-11"/>
    <m/>
    <n v="0"/>
    <n v="0"/>
    <m/>
    <m/>
    <s v="Not Started"/>
    <s v="No"/>
    <s v="No"/>
    <s v="No"/>
    <n v="0"/>
    <n v="0"/>
    <m/>
    <m/>
    <s v="Not Started"/>
    <s v="No"/>
    <s v="No"/>
    <s v="No"/>
    <n v="0"/>
    <n v="0"/>
    <m/>
    <m/>
    <s v="Not Started"/>
    <s v="No"/>
    <s v="No"/>
    <s v="No"/>
    <n v="0"/>
    <n v="0"/>
    <m/>
    <m/>
    <s v="Not Started"/>
    <s v="No"/>
    <s v="No"/>
    <s v="No"/>
    <m/>
    <m/>
    <n v="0"/>
    <m/>
    <m/>
  </r>
  <r>
    <s v="PR.PS-01 Ex3"/>
    <x v="2"/>
    <s v="Safeguards to manage the organization's cybersecurity risks are used"/>
    <x v="12"/>
    <s v="Platform Security (PR.PS)"/>
    <s v="The hardware, software (e.g., firmware, operating systems, applications), and services of physical and virtual platforms are managed consistent with the organization's risk strategy to protect their confidentiality, integrity, and availability"/>
    <s v="PR.PS-01"/>
    <s v="Configuration management practices are established and applied"/>
    <s v="Ex3: Monitor implemented software for deviations from approved baselines"/>
    <s v="CM-01,CM-02,CM-03,CM-04,CM-05,CM-06,CM-07,CM-08,CM-09,CM-10,CM-11"/>
    <x v="1"/>
    <m/>
    <m/>
    <m/>
    <s v="CM-01,CM-02,CM-03,CM-04,CM-05,CM-06,CM-07,CM-08,CM-09,CM-10,CM-11"/>
    <m/>
    <n v="0"/>
    <n v="0"/>
    <m/>
    <m/>
    <s v="Not Started"/>
    <s v="No"/>
    <s v="No"/>
    <s v="No"/>
    <n v="0"/>
    <n v="0"/>
    <m/>
    <m/>
    <s v="Not Started"/>
    <s v="No"/>
    <s v="No"/>
    <s v="No"/>
    <n v="0"/>
    <n v="0"/>
    <m/>
    <m/>
    <s v="Not Started"/>
    <s v="No"/>
    <s v="No"/>
    <s v="No"/>
    <n v="0"/>
    <n v="0"/>
    <m/>
    <m/>
    <s v="Not Started"/>
    <s v="No"/>
    <s v="No"/>
    <s v="No"/>
    <m/>
    <m/>
    <n v="0"/>
    <m/>
    <m/>
  </r>
  <r>
    <s v="PR.PS-02 Ex1"/>
    <x v="2"/>
    <s v="Safeguards to manage the organization's cybersecurity risks are used"/>
    <x v="12"/>
    <s v="Platform Security (PR.PS)"/>
    <s v="The hardware, software (e.g., firmware, operating systems, applications), and services of physical and virtual platforms are managed consistent with the organization's risk strategy to protect their confidentiality, integrity, and availability"/>
    <s v="PR.PS-02"/>
    <s v="Software is maintained, replaced, and removed commensurate with risk"/>
    <s v="Ex1: Perform routine and emergency patching within the timeframes specified in the vulnerability management plan"/>
    <s v="CM-11,MA-03(06),SA-10(01),SI-02,SI-07"/>
    <x v="1"/>
    <m/>
    <m/>
    <m/>
    <s v="CM-11,MA-03(06),SA-10(01),SI-02,SI-07"/>
    <m/>
    <n v="0"/>
    <n v="0"/>
    <m/>
    <m/>
    <s v="Not Started"/>
    <s v="No"/>
    <s v="No"/>
    <s v="No"/>
    <n v="0"/>
    <n v="0"/>
    <m/>
    <m/>
    <s v="Not Started"/>
    <s v="No"/>
    <s v="No"/>
    <s v="No"/>
    <n v="0"/>
    <n v="0"/>
    <m/>
    <m/>
    <s v="Not Started"/>
    <s v="No"/>
    <s v="No"/>
    <s v="No"/>
    <n v="0"/>
    <n v="0"/>
    <m/>
    <m/>
    <s v="Not Started"/>
    <s v="No"/>
    <s v="No"/>
    <s v="No"/>
    <m/>
    <m/>
    <n v="0"/>
    <m/>
    <m/>
  </r>
  <r>
    <s v="PR.PS-02 Ex2"/>
    <x v="2"/>
    <s v="Safeguards to manage the organization's cybersecurity risks are used"/>
    <x v="12"/>
    <s v="Platform Security (PR.PS)"/>
    <s v="The hardware, software (e.g., firmware, operating systems, applications), and services of physical and virtual platforms are managed consistent with the organization's risk strategy to protect their confidentiality, integrity, and availability"/>
    <s v="PR.PS-02"/>
    <s v="Software is maintained, replaced, and removed commensurate with risk"/>
    <s v="Ex2: Update container images, and deploy new container instances to replace rather than update existing instances"/>
    <s v="CM-11,MA-03(06),SA-10(01),SI-02,SI-07"/>
    <x v="1"/>
    <m/>
    <m/>
    <m/>
    <s v="CM-11,MA-03(06),SA-10(01),SI-02,SI-07"/>
    <m/>
    <n v="0"/>
    <n v="0"/>
    <m/>
    <m/>
    <s v="Not Started"/>
    <s v="No"/>
    <s v="No"/>
    <s v="No"/>
    <n v="0"/>
    <n v="0"/>
    <m/>
    <m/>
    <s v="Not Started"/>
    <s v="No"/>
    <s v="No"/>
    <s v="No"/>
    <n v="0"/>
    <n v="0"/>
    <m/>
    <m/>
    <s v="Not Started"/>
    <s v="No"/>
    <s v="No"/>
    <s v="No"/>
    <n v="0"/>
    <n v="0"/>
    <m/>
    <m/>
    <s v="Not Started"/>
    <s v="No"/>
    <s v="No"/>
    <s v="No"/>
    <m/>
    <m/>
    <n v="0"/>
    <m/>
    <m/>
  </r>
  <r>
    <s v="PR.PS-02 Ex3"/>
    <x v="2"/>
    <s v="Safeguards to manage the organization's cybersecurity risks are used"/>
    <x v="12"/>
    <s v="Platform Security (PR.PS)"/>
    <s v="The hardware, software (e.g., firmware, operating systems, applications), and services of physical and virtual platforms are managed consistent with the organization's risk strategy to protect their confidentiality, integrity, and availability"/>
    <s v="PR.PS-02"/>
    <s v="Software is maintained, replaced, and removed commensurate with risk"/>
    <s v="Ex3: Replace end-of-life software and service versions with supported, maintained versions"/>
    <s v="CM-11,MA-03(06),SA-10(01),SI-02,SI-07"/>
    <x v="1"/>
    <m/>
    <m/>
    <m/>
    <s v="CM-11,MA-03(06),SA-10(01),SI-02,SI-07"/>
    <m/>
    <n v="0"/>
    <n v="0"/>
    <m/>
    <m/>
    <s v="Not Started"/>
    <s v="No"/>
    <s v="No"/>
    <s v="No"/>
    <n v="0"/>
    <n v="0"/>
    <m/>
    <m/>
    <s v="Not Started"/>
    <s v="No"/>
    <s v="No"/>
    <s v="No"/>
    <n v="0"/>
    <n v="0"/>
    <m/>
    <m/>
    <s v="Not Started"/>
    <s v="No"/>
    <s v="No"/>
    <s v="No"/>
    <n v="0"/>
    <n v="0"/>
    <m/>
    <m/>
    <s v="Not Started"/>
    <s v="No"/>
    <s v="No"/>
    <s v="No"/>
    <m/>
    <m/>
    <n v="0"/>
    <m/>
    <m/>
  </r>
  <r>
    <s v="PR.PS-02 Ex4"/>
    <x v="2"/>
    <s v="Safeguards to manage the organization's cybersecurity risks are used"/>
    <x v="12"/>
    <s v="Platform Security (PR.PS)"/>
    <s v="The hardware, software (e.g., firmware, operating systems, applications), and services of physical and virtual platforms are managed consistent with the organization's risk strategy to protect their confidentiality, integrity, and availability"/>
    <s v="PR.PS-02"/>
    <s v="Software is maintained, replaced, and removed commensurate with risk"/>
    <s v="Ex4: Uninstall and remove unauthorized software and services that pose undue risks"/>
    <s v="CM-11,MA-03(06),SA-10(01),SI-02,SI-07"/>
    <x v="1"/>
    <m/>
    <m/>
    <m/>
    <s v="CM-11,MA-03(06),SA-10(01),SI-02,SI-07"/>
    <m/>
    <n v="0"/>
    <n v="0"/>
    <m/>
    <m/>
    <s v="Not Started"/>
    <s v="No"/>
    <s v="No"/>
    <s v="No"/>
    <n v="0"/>
    <n v="0"/>
    <m/>
    <m/>
    <s v="Not Started"/>
    <s v="No"/>
    <s v="No"/>
    <s v="No"/>
    <n v="0"/>
    <n v="0"/>
    <m/>
    <m/>
    <s v="Not Started"/>
    <s v="No"/>
    <s v="No"/>
    <s v="No"/>
    <n v="0"/>
    <n v="0"/>
    <m/>
    <m/>
    <s v="Not Started"/>
    <s v="No"/>
    <s v="No"/>
    <s v="No"/>
    <m/>
    <m/>
    <n v="0"/>
    <m/>
    <m/>
  </r>
  <r>
    <s v="PR.PS-02 Ex5"/>
    <x v="2"/>
    <s v="Safeguards to manage the organization's cybersecurity risks are used"/>
    <x v="12"/>
    <s v="Platform Security (PR.PS)"/>
    <s v="The hardware, software (e.g., firmware, operating systems, applications), and services of physical and virtual platforms are managed consistent with the organization's risk strategy to protect their confidentiality, integrity, and availability"/>
    <s v="PR.PS-02"/>
    <s v="Software is maintained, replaced, and removed commensurate with risk"/>
    <s v="Ex5: Uninstall and remove any unnecessary software components (e.g., operating system utilities) that attackers might misuse"/>
    <s v="CM-11,MA-03(06),SA-10(01),SI-02,SI-07"/>
    <x v="1"/>
    <m/>
    <m/>
    <m/>
    <s v="CM-11,MA-03(06),SA-10(01),SI-02,SI-07"/>
    <m/>
    <n v="0"/>
    <n v="0"/>
    <m/>
    <m/>
    <s v="Not Started"/>
    <s v="No"/>
    <s v="No"/>
    <s v="No"/>
    <n v="0"/>
    <n v="0"/>
    <m/>
    <m/>
    <s v="Not Started"/>
    <s v="No"/>
    <s v="No"/>
    <s v="No"/>
    <n v="0"/>
    <n v="0"/>
    <m/>
    <m/>
    <s v="Not Started"/>
    <s v="No"/>
    <s v="No"/>
    <s v="No"/>
    <n v="0"/>
    <n v="0"/>
    <m/>
    <m/>
    <s v="Not Started"/>
    <s v="No"/>
    <s v="No"/>
    <s v="No"/>
    <m/>
    <m/>
    <n v="0"/>
    <m/>
    <m/>
  </r>
  <r>
    <s v="PR.PS-02 Ex6"/>
    <x v="2"/>
    <s v="Safeguards to manage the organization's cybersecurity risks are used"/>
    <x v="12"/>
    <s v="Platform Security (PR.PS)"/>
    <s v="The hardware, software (e.g., firmware, operating systems, applications), and services of physical and virtual platforms are managed consistent with the organization's risk strategy to protect their confidentiality, integrity, and availability"/>
    <s v="PR.PS-02"/>
    <s v="Software is maintained, replaced, and removed commensurate with risk"/>
    <s v="Ex6: Define and implement plans for software and service end-of-life maintenance support and obsolescence"/>
    <s v="CM-11,MA-03(06),SA-10(01),SI-02,SI-07"/>
    <x v="1"/>
    <m/>
    <m/>
    <m/>
    <s v="CM-11,MA-03(06),SA-10(01),SI-02,SI-07"/>
    <m/>
    <n v="0"/>
    <n v="0"/>
    <m/>
    <m/>
    <s v="Not Started"/>
    <s v="No"/>
    <s v="No"/>
    <s v="No"/>
    <n v="0"/>
    <n v="0"/>
    <m/>
    <m/>
    <s v="Not Started"/>
    <s v="No"/>
    <s v="No"/>
    <s v="No"/>
    <n v="0"/>
    <n v="0"/>
    <m/>
    <m/>
    <s v="Not Started"/>
    <s v="No"/>
    <s v="No"/>
    <s v="No"/>
    <n v="0"/>
    <n v="0"/>
    <m/>
    <m/>
    <s v="Not Started"/>
    <s v="No"/>
    <s v="No"/>
    <s v="No"/>
    <m/>
    <m/>
    <n v="0"/>
    <m/>
    <m/>
  </r>
  <r>
    <s v="PR.PS-03 Ex1"/>
    <x v="2"/>
    <s v="Safeguards to manage the organization's cybersecurity risks are used"/>
    <x v="12"/>
    <s v="Platform Security (PR.PS)"/>
    <s v="The hardware, software (e.g., firmware, operating systems, applications), and services of physical and virtual platforms are managed consistent with the organization's risk strategy to protect their confidentiality, integrity, and availability"/>
    <s v="PR.PS-03"/>
    <s v="Hardware is maintained, replaced, and removed commensurate with risk"/>
    <s v="Ex1: Replace hardware when it lacks needed security capabilities or when it cannot support software with needed security capabilities"/>
    <s v="CM-07(09),SA-10(03),SC-03(01),SC-39(01),SC-49,SC-51"/>
    <x v="1"/>
    <m/>
    <m/>
    <m/>
    <s v="CM-07(09),SA-10(03),SC-03(01),SC-39(01),SC-49,SC-51"/>
    <m/>
    <n v="0"/>
    <n v="0"/>
    <m/>
    <m/>
    <s v="Not Started"/>
    <s v="No"/>
    <s v="No"/>
    <s v="No"/>
    <n v="0"/>
    <n v="0"/>
    <m/>
    <m/>
    <s v="Not Started"/>
    <s v="No"/>
    <s v="No"/>
    <s v="No"/>
    <n v="0"/>
    <n v="0"/>
    <m/>
    <m/>
    <s v="Not Started"/>
    <s v="No"/>
    <s v="No"/>
    <s v="No"/>
    <n v="0"/>
    <n v="0"/>
    <m/>
    <m/>
    <s v="Not Started"/>
    <s v="No"/>
    <s v="No"/>
    <s v="No"/>
    <m/>
    <m/>
    <n v="0"/>
    <m/>
    <m/>
  </r>
  <r>
    <s v="PR.PS-03 Ex2"/>
    <x v="2"/>
    <s v="Safeguards to manage the organization's cybersecurity risks are used"/>
    <x v="12"/>
    <s v="Platform Security (PR.PS)"/>
    <s v="The hardware, software (e.g., firmware, operating systems, applications), and services of physical and virtual platforms are managed consistent with the organization's risk strategy to protect their confidentiality, integrity, and availability"/>
    <s v="PR.PS-03"/>
    <s v="Hardware is maintained, replaced, and removed commensurate with risk"/>
    <s v="Ex2: Define and implement plans for hardware end-of-life maintenance support and obsolescence"/>
    <s v="CM-07(09),SA-10(03),SC-03(01),SC-39(01),SC-49,SC-51"/>
    <x v="1"/>
    <m/>
    <m/>
    <m/>
    <s v="CM-07(09),SA-10(03),SC-03(01),SC-39(01),SC-49,SC-51"/>
    <m/>
    <n v="0"/>
    <n v="0"/>
    <m/>
    <m/>
    <s v="Not Started"/>
    <s v="No"/>
    <s v="No"/>
    <s v="No"/>
    <n v="0"/>
    <n v="0"/>
    <m/>
    <m/>
    <s v="Not Started"/>
    <s v="No"/>
    <s v="No"/>
    <s v="No"/>
    <n v="0"/>
    <n v="0"/>
    <m/>
    <m/>
    <s v="Not Started"/>
    <s v="No"/>
    <s v="No"/>
    <s v="No"/>
    <n v="0"/>
    <n v="0"/>
    <m/>
    <m/>
    <s v="Not Started"/>
    <s v="No"/>
    <s v="No"/>
    <s v="No"/>
    <m/>
    <m/>
    <n v="0"/>
    <m/>
    <m/>
  </r>
  <r>
    <s v="PR.PS-03 Ex3"/>
    <x v="2"/>
    <s v="Safeguards to manage the organization's cybersecurity risks are used"/>
    <x v="12"/>
    <s v="Platform Security (PR.PS)"/>
    <s v="The hardware, software (e.g., firmware, operating systems, applications), and services of physical and virtual platforms are managed consistent with the organization's risk strategy to protect their confidentiality, integrity, and availability"/>
    <s v="PR.PS-03"/>
    <s v="Hardware is maintained, replaced, and removed commensurate with risk"/>
    <s v="Ex3: Perform hardware disposal in a secure, responsible, and auditable manner"/>
    <s v="CM-07(09),SA-10(03),SC-03(01),SC-39(01),SC-49,SC-51"/>
    <x v="1"/>
    <m/>
    <m/>
    <m/>
    <s v="CM-07(09),SA-10(03),SC-03(01),SC-39(01),SC-49,SC-51"/>
    <m/>
    <n v="0"/>
    <n v="0"/>
    <m/>
    <m/>
    <s v="Not Started"/>
    <s v="No"/>
    <s v="No"/>
    <s v="No"/>
    <n v="0"/>
    <n v="0"/>
    <m/>
    <m/>
    <s v="Not Started"/>
    <s v="No"/>
    <s v="No"/>
    <s v="No"/>
    <n v="0"/>
    <n v="0"/>
    <m/>
    <m/>
    <s v="Not Started"/>
    <s v="No"/>
    <s v="No"/>
    <s v="No"/>
    <n v="0"/>
    <n v="0"/>
    <m/>
    <m/>
    <s v="Not Started"/>
    <s v="No"/>
    <s v="No"/>
    <s v="No"/>
    <m/>
    <m/>
    <n v="0"/>
    <m/>
    <m/>
  </r>
  <r>
    <s v="PR.PS-04 Ex1"/>
    <x v="2"/>
    <s v="Safeguards to manage the organization's cybersecurity risks are used"/>
    <x v="12"/>
    <s v="Platform Security (PR.PS)"/>
    <s v="The hardware, software (e.g., firmware, operating systems, applications), and services of physical and virtual platforms are managed consistent with the organization's risk strategy to protect their confidentiality, integrity, and availability"/>
    <s v="PR.PS-04"/>
    <s v="Log records are generated and made available for continuous monitoring"/>
    <s v="Ex1: Configure all operating systems, applications, and services (including cloud-based services) to generate log records"/>
    <s v="AU-02,AU-03,AU-06,AU-07,AU-11,AU-12"/>
    <x v="1"/>
    <m/>
    <m/>
    <m/>
    <s v="AU-02,AU-03,AU-06,AU-07,AU-11,AU-12"/>
    <m/>
    <n v="0"/>
    <n v="0"/>
    <m/>
    <m/>
    <s v="Not Started"/>
    <s v="No"/>
    <s v="No"/>
    <s v="No"/>
    <n v="0"/>
    <n v="0"/>
    <m/>
    <m/>
    <s v="Not Started"/>
    <s v="No"/>
    <s v="No"/>
    <s v="No"/>
    <n v="0"/>
    <n v="0"/>
    <m/>
    <m/>
    <s v="Not Started"/>
    <s v="No"/>
    <s v="No"/>
    <s v="No"/>
    <n v="0"/>
    <n v="0"/>
    <m/>
    <m/>
    <s v="Not Started"/>
    <s v="No"/>
    <s v="No"/>
    <s v="No"/>
    <m/>
    <m/>
    <n v="0"/>
    <m/>
    <m/>
  </r>
  <r>
    <s v="PR.PS-04 Ex2"/>
    <x v="2"/>
    <s v="Safeguards to manage the organization's cybersecurity risks are used"/>
    <x v="12"/>
    <s v="Platform Security (PR.PS)"/>
    <s v="The hardware, software (e.g., firmware, operating systems, applications), and services of physical and virtual platforms are managed consistent with the organization's risk strategy to protect their confidentiality, integrity, and availability"/>
    <s v="PR.PS-04"/>
    <s v="Log records are generated and made available for continuous monitoring"/>
    <s v="Ex2: Configure log generators to securely share their logs with the organization's logging infrastructure systems and services"/>
    <s v="AU-02,AU-03,AU-06,AU-07,AU-11,AU-12"/>
    <x v="1"/>
    <m/>
    <m/>
    <m/>
    <s v="AU-02,AU-03,AU-06,AU-07,AU-11,AU-12"/>
    <m/>
    <n v="0"/>
    <n v="0"/>
    <m/>
    <m/>
    <s v="Not Started"/>
    <s v="No"/>
    <s v="No"/>
    <s v="No"/>
    <n v="0"/>
    <n v="0"/>
    <m/>
    <m/>
    <s v="Not Started"/>
    <s v="No"/>
    <s v="No"/>
    <s v="No"/>
    <n v="0"/>
    <n v="0"/>
    <m/>
    <m/>
    <s v="Not Started"/>
    <s v="No"/>
    <s v="No"/>
    <s v="No"/>
    <n v="0"/>
    <n v="0"/>
    <m/>
    <m/>
    <s v="Not Started"/>
    <s v="No"/>
    <s v="No"/>
    <s v="No"/>
    <m/>
    <m/>
    <n v="0"/>
    <m/>
    <m/>
  </r>
  <r>
    <s v="PR.PS-04 Ex3"/>
    <x v="2"/>
    <s v="Safeguards to manage the organization's cybersecurity risks are used"/>
    <x v="12"/>
    <s v="Platform Security (PR.PS)"/>
    <s v="The hardware, software (e.g., firmware, operating systems, applications), and services of physical and virtual platforms are managed consistent with the organization's risk strategy to protect their confidentiality, integrity, and availability"/>
    <s v="PR.PS-04"/>
    <s v="Log records are generated and made available for continuous monitoring"/>
    <s v="Ex3: Configure log generators to record the data needed by zero-trust architectures"/>
    <s v="AU-02,AU-03,AU-06,AU-07,AU-11,AU-12"/>
    <x v="1"/>
    <m/>
    <m/>
    <m/>
    <s v="AU-02,AU-03,AU-06,AU-07,AU-11,AU-12"/>
    <m/>
    <n v="0"/>
    <n v="0"/>
    <m/>
    <m/>
    <s v="Not Started"/>
    <s v="No"/>
    <s v="No"/>
    <s v="No"/>
    <n v="0"/>
    <n v="0"/>
    <m/>
    <m/>
    <s v="Not Started"/>
    <s v="No"/>
    <s v="No"/>
    <s v="No"/>
    <n v="0"/>
    <n v="0"/>
    <m/>
    <m/>
    <s v="Not Started"/>
    <s v="No"/>
    <s v="No"/>
    <s v="No"/>
    <n v="0"/>
    <n v="0"/>
    <m/>
    <m/>
    <s v="Not Started"/>
    <s v="No"/>
    <s v="No"/>
    <s v="No"/>
    <m/>
    <m/>
    <n v="0"/>
    <m/>
    <m/>
  </r>
  <r>
    <s v="PR.PS-05 Ex2"/>
    <x v="2"/>
    <s v="Safeguards to manage the organization's cybersecurity risks are used"/>
    <x v="12"/>
    <s v="Platform Security (PR.PS)"/>
    <s v="The hardware, software (e.g., firmware, operating systems, applications), and services of physical and virtual platforms are managed consistent with the organization's risk strategy to protect their confidentiality, integrity, and availability"/>
    <s v="PR.PS-05"/>
    <s v="Installation and execution of unauthorized software are prevented"/>
    <s v="Ex2: Verify the source of new software and the software's integrity before installing it"/>
    <s v="CM-07(02),CM-07(04),CM-07(05),SC-34"/>
    <x v="1"/>
    <m/>
    <m/>
    <m/>
    <s v="CM-07(02),CM-07(04),CM-07(05),SC-34"/>
    <m/>
    <n v="0"/>
    <n v="0"/>
    <m/>
    <m/>
    <s v="Not Started"/>
    <s v="No"/>
    <s v="No"/>
    <s v="No"/>
    <n v="0"/>
    <n v="0"/>
    <m/>
    <m/>
    <s v="Not Started"/>
    <s v="No"/>
    <s v="No"/>
    <s v="No"/>
    <n v="0"/>
    <n v="0"/>
    <m/>
    <m/>
    <s v="Not Started"/>
    <s v="No"/>
    <s v="No"/>
    <s v="No"/>
    <n v="0"/>
    <n v="0"/>
    <m/>
    <m/>
    <s v="Not Started"/>
    <s v="No"/>
    <s v="No"/>
    <s v="No"/>
    <m/>
    <m/>
    <n v="0"/>
    <m/>
    <m/>
  </r>
  <r>
    <s v="PR.PS-05 Ex3"/>
    <x v="2"/>
    <s v="Safeguards to manage the organization's cybersecurity risks are used"/>
    <x v="12"/>
    <s v="Platform Security (PR.PS)"/>
    <s v="The hardware, software (e.g., firmware, operating systems, applications), and services of physical and virtual platforms are managed consistent with the organization's risk strategy to protect their confidentiality, integrity, and availability"/>
    <s v="PR.PS-05"/>
    <s v="Installation and execution of unauthorized software are prevented"/>
    <s v="Ex3: Configure platforms to use only approved DNS services that block access to known malicious domains"/>
    <s v="CM-07(02),CM-07(04),CM-07(05),SC-34"/>
    <x v="1"/>
    <m/>
    <m/>
    <m/>
    <s v="CM-07(02),CM-07(04),CM-07(05),SC-34"/>
    <m/>
    <n v="0"/>
    <n v="0"/>
    <m/>
    <m/>
    <s v="Not Started"/>
    <s v="No"/>
    <s v="No"/>
    <s v="No"/>
    <n v="0"/>
    <n v="0"/>
    <m/>
    <m/>
    <s v="Not Started"/>
    <s v="No"/>
    <s v="No"/>
    <s v="No"/>
    <n v="0"/>
    <n v="0"/>
    <m/>
    <m/>
    <s v="Not Started"/>
    <s v="No"/>
    <s v="No"/>
    <s v="No"/>
    <n v="0"/>
    <n v="0"/>
    <m/>
    <m/>
    <s v="Not Started"/>
    <s v="No"/>
    <s v="No"/>
    <s v="No"/>
    <m/>
    <m/>
    <n v="0"/>
    <m/>
    <m/>
  </r>
  <r>
    <s v="PR.PS-05 Ex4"/>
    <x v="2"/>
    <s v="Safeguards to manage the organization's cybersecurity risks are used"/>
    <x v="12"/>
    <s v="Platform Security (PR.PS)"/>
    <s v="The hardware, software (e.g., firmware, operating systems, applications), and services of physical and virtual platforms are managed consistent with the organization's risk strategy to protect their confidentiality, integrity, and availability"/>
    <s v="PR.PS-05"/>
    <s v="Installation and execution of unauthorized software are prevented"/>
    <s v="Ex4: Configure platforms to allow the installation of organization-approved software only"/>
    <s v="CM-07(02),CM-07(04),CM-07(05),SC-34"/>
    <x v="1"/>
    <m/>
    <m/>
    <m/>
    <s v="CM-07(02),CM-07(04),CM-07(05),SC-34"/>
    <m/>
    <n v="0"/>
    <n v="0"/>
    <m/>
    <m/>
    <s v="Not Started"/>
    <s v="No"/>
    <s v="No"/>
    <s v="No"/>
    <n v="0"/>
    <n v="0"/>
    <m/>
    <m/>
    <s v="Not Started"/>
    <s v="No"/>
    <s v="No"/>
    <s v="No"/>
    <n v="0"/>
    <n v="0"/>
    <m/>
    <m/>
    <s v="Not Started"/>
    <s v="No"/>
    <s v="No"/>
    <s v="No"/>
    <n v="0"/>
    <n v="0"/>
    <m/>
    <m/>
    <s v="Not Started"/>
    <s v="No"/>
    <s v="No"/>
    <s v="No"/>
    <m/>
    <m/>
    <n v="0"/>
    <m/>
    <m/>
  </r>
  <r>
    <s v="PR.PS-06 Ex1"/>
    <x v="2"/>
    <s v="Safeguards to manage the organization's cybersecurity risks are used"/>
    <x v="12"/>
    <s v="Platform Security (PR.PS)"/>
    <s v="The hardware, software (e.g., firmware, operating systems, applications), and services of physical and virtual platforms are managed consistent with the organization's risk strategy to protect their confidentiality, integrity, and availability"/>
    <s v="PR.PS-06"/>
    <s v="Secure software development practices are integrated, and their performance is monitored throughout the software development life cycle"/>
    <s v="Ex1: Protect all components of organization-developed software from tampering and unauthorized access"/>
    <s v="SA-03,SA-08,SA-10,SA-11,SA-15,SA-17"/>
    <x v="1"/>
    <m/>
    <m/>
    <m/>
    <s v="SA-03,SA-08,SA-10,SA-11,SA-15,SA-17"/>
    <m/>
    <n v="0"/>
    <n v="0"/>
    <m/>
    <m/>
    <s v="Not Started"/>
    <s v="No"/>
    <s v="No"/>
    <s v="No"/>
    <n v="0"/>
    <n v="0"/>
    <m/>
    <m/>
    <s v="Not Started"/>
    <s v="No"/>
    <s v="No"/>
    <s v="No"/>
    <n v="0"/>
    <n v="0"/>
    <m/>
    <m/>
    <s v="Not Started"/>
    <s v="No"/>
    <s v="No"/>
    <s v="No"/>
    <n v="0"/>
    <n v="0"/>
    <m/>
    <m/>
    <s v="Not Started"/>
    <s v="No"/>
    <s v="No"/>
    <s v="No"/>
    <m/>
    <m/>
    <n v="0"/>
    <m/>
    <m/>
  </r>
  <r>
    <s v="PR.PS-06 Ex2"/>
    <x v="2"/>
    <s v="Safeguards to manage the organization's cybersecurity risks are used"/>
    <x v="12"/>
    <s v="Platform Security (PR.PS)"/>
    <s v="The hardware, software (e.g., firmware, operating systems, applications), and services of physical and virtual platforms are managed consistent with the organization's risk strategy to protect their confidentiality, integrity, and availability"/>
    <s v="PR.PS-06"/>
    <s v="Secure software development practices are integrated, and their performance is monitored throughout the software development life cycle"/>
    <s v="Ex2: Secure all software produced by the organization, with minimal vulnerabilities in their releases"/>
    <s v="SA-03,SA-08,SA-10,SA-11,SA-15,SA-17"/>
    <x v="1"/>
    <m/>
    <m/>
    <m/>
    <s v="SA-03,SA-08,SA-10,SA-11,SA-15,SA-17"/>
    <m/>
    <n v="0"/>
    <n v="0"/>
    <m/>
    <m/>
    <s v="Not Started"/>
    <s v="No"/>
    <s v="No"/>
    <s v="No"/>
    <n v="0"/>
    <n v="0"/>
    <m/>
    <m/>
    <s v="Not Started"/>
    <s v="No"/>
    <s v="No"/>
    <s v="No"/>
    <n v="0"/>
    <n v="0"/>
    <m/>
    <m/>
    <s v="Not Started"/>
    <s v="No"/>
    <s v="No"/>
    <s v="No"/>
    <n v="0"/>
    <n v="0"/>
    <m/>
    <m/>
    <s v="Not Started"/>
    <s v="No"/>
    <s v="No"/>
    <s v="No"/>
    <m/>
    <m/>
    <n v="0"/>
    <m/>
    <m/>
  </r>
  <r>
    <s v="PR.PS-06 Ex3"/>
    <x v="2"/>
    <s v="Safeguards to manage the organization's cybersecurity risks are used"/>
    <x v="12"/>
    <s v="Platform Security (PR.PS)"/>
    <s v="The hardware, software (e.g., firmware, operating systems, applications), and services of physical and virtual platforms are managed consistent with the organization's risk strategy to protect their confidentiality, integrity, and availability"/>
    <s v="PR.PS-06"/>
    <s v="Secure software development practices are integrated, and their performance is monitored throughout the software development life cycle"/>
    <s v="Ex3: Maintain the software used in production environments, and securely dispose of software once it is no longer needed"/>
    <s v="SA-03,SA-08,SA-10,SA-11,SA-15,SA-17"/>
    <x v="1"/>
    <m/>
    <m/>
    <m/>
    <s v="SA-03,SA-08,SA-10,SA-11,SA-15,SA-17"/>
    <m/>
    <n v="0"/>
    <n v="0"/>
    <m/>
    <m/>
    <s v="Not Started"/>
    <s v="No"/>
    <s v="No"/>
    <s v="No"/>
    <n v="0"/>
    <n v="0"/>
    <m/>
    <m/>
    <s v="Not Started"/>
    <s v="No"/>
    <s v="No"/>
    <s v="No"/>
    <n v="0"/>
    <n v="0"/>
    <m/>
    <m/>
    <s v="Not Started"/>
    <s v="No"/>
    <s v="No"/>
    <s v="No"/>
    <n v="0"/>
    <n v="0"/>
    <m/>
    <m/>
    <s v="Not Started"/>
    <s v="No"/>
    <s v="No"/>
    <s v="No"/>
    <m/>
    <m/>
    <n v="0"/>
    <m/>
    <m/>
  </r>
  <r>
    <s v="RC.CO-03 Ex1"/>
    <x v="5"/>
    <s v="Assets and operations affected by a cybersecurity incident are restored"/>
    <x v="19"/>
    <s v="Incident Recovery Communication (RC.CO)"/>
    <s v="Restoration activities are coordinated with internal and external parties"/>
    <s v="RC.CO-03"/>
    <s v="Recovery activities and progress in restoring operational capabilities are communicated to designated internal and external stakeholders"/>
    <s v="Ex1: Securely share recovery information, including restoration progress, consistent with response plans and information sharing agreements"/>
    <s v="IR-04,IR-06,SR-08"/>
    <x v="1"/>
    <m/>
    <m/>
    <m/>
    <s v="IR-04,IR-06,SR-08"/>
    <m/>
    <n v="0"/>
    <n v="0"/>
    <m/>
    <m/>
    <s v="Not Started"/>
    <s v="No"/>
    <s v="No"/>
    <s v="No"/>
    <n v="0"/>
    <n v="0"/>
    <m/>
    <m/>
    <s v="Not Started"/>
    <s v="No"/>
    <s v="No"/>
    <s v="No"/>
    <n v="0"/>
    <n v="0"/>
    <m/>
    <m/>
    <s v="Not Started"/>
    <s v="No"/>
    <s v="No"/>
    <s v="No"/>
    <n v="0"/>
    <n v="0"/>
    <m/>
    <m/>
    <s v="Not Started"/>
    <s v="No"/>
    <s v="No"/>
    <s v="No"/>
    <m/>
    <m/>
    <n v="0"/>
    <m/>
    <m/>
  </r>
  <r>
    <s v="RC.CO-03 Ex2"/>
    <x v="5"/>
    <s v="Assets and operations affected by a cybersecurity incident are restored"/>
    <x v="19"/>
    <s v="Incident Recovery Communication (RC.CO)"/>
    <s v="Restoration activities are coordinated with internal and external parties"/>
    <s v="RC.CO-03"/>
    <s v="Recovery activities and progress in restoring operational capabilities are communicated to designated internal and external stakeholders"/>
    <s v="Ex2: Regularly update senior leadership on recovery status and restoration progress for major incidents"/>
    <s v="IR-04,IR-06,SR-08"/>
    <x v="1"/>
    <m/>
    <m/>
    <m/>
    <s v="IR-04,IR-06,SR-08"/>
    <m/>
    <n v="0"/>
    <n v="0"/>
    <m/>
    <m/>
    <s v="Not Started"/>
    <s v="No"/>
    <s v="No"/>
    <s v="No"/>
    <n v="0"/>
    <n v="0"/>
    <m/>
    <m/>
    <s v="Not Started"/>
    <s v="No"/>
    <s v="No"/>
    <s v="No"/>
    <n v="0"/>
    <n v="0"/>
    <m/>
    <m/>
    <s v="Not Started"/>
    <s v="No"/>
    <s v="No"/>
    <s v="No"/>
    <n v="0"/>
    <n v="0"/>
    <m/>
    <m/>
    <s v="Not Started"/>
    <s v="No"/>
    <s v="No"/>
    <s v="No"/>
    <m/>
    <m/>
    <n v="0"/>
    <m/>
    <m/>
  </r>
  <r>
    <s v="RC.CO-03 Ex3"/>
    <x v="5"/>
    <s v="Assets and operations affected by a cybersecurity incident are restored"/>
    <x v="19"/>
    <s v="Incident Recovery Communication (RC.CO)"/>
    <s v="Restoration activities are coordinated with internal and external parties"/>
    <s v="RC.CO-03"/>
    <s v="Recovery activities and progress in restoring operational capabilities are communicated to designated internal and external stakeholders"/>
    <s v="Ex3: Follow the rules and protocols defined in contracts for incident information sharing between the organization and its suppliers"/>
    <s v="IR-04,IR-06,SR-08"/>
    <x v="1"/>
    <m/>
    <m/>
    <m/>
    <s v="IR-04,IR-06,SR-08"/>
    <m/>
    <n v="0"/>
    <n v="0"/>
    <m/>
    <m/>
    <s v="Not Started"/>
    <s v="No"/>
    <s v="No"/>
    <s v="No"/>
    <n v="0"/>
    <n v="0"/>
    <m/>
    <m/>
    <s v="Not Started"/>
    <s v="No"/>
    <s v="No"/>
    <s v="No"/>
    <n v="0"/>
    <n v="0"/>
    <m/>
    <m/>
    <s v="Not Started"/>
    <s v="No"/>
    <s v="No"/>
    <s v="No"/>
    <n v="0"/>
    <n v="0"/>
    <m/>
    <m/>
    <s v="Not Started"/>
    <s v="No"/>
    <s v="No"/>
    <s v="No"/>
    <m/>
    <m/>
    <n v="0"/>
    <m/>
    <m/>
  </r>
  <r>
    <s v="RC.CO-03 Ex4"/>
    <x v="5"/>
    <s v="Assets and operations affected by a cybersecurity incident are restored"/>
    <x v="19"/>
    <s v="Incident Recovery Communication (RC.CO)"/>
    <s v="Restoration activities are coordinated with internal and external parties"/>
    <s v="RC.CO-03"/>
    <s v="Recovery activities and progress in restoring operational capabilities are communicated to designated internal and external stakeholders"/>
    <s v="Ex4: Coordinate crisis communication between the organization and its critical suppliers"/>
    <s v="IR-04,IR-06,SR-08"/>
    <x v="1"/>
    <m/>
    <m/>
    <m/>
    <s v="IR-04,IR-06,SR-08"/>
    <m/>
    <n v="0"/>
    <n v="0"/>
    <m/>
    <m/>
    <s v="Not Started"/>
    <s v="No"/>
    <s v="No"/>
    <s v="No"/>
    <n v="0"/>
    <n v="0"/>
    <m/>
    <m/>
    <s v="Not Started"/>
    <s v="No"/>
    <s v="No"/>
    <s v="No"/>
    <n v="0"/>
    <n v="0"/>
    <m/>
    <m/>
    <s v="Not Started"/>
    <s v="No"/>
    <s v="No"/>
    <s v="No"/>
    <n v="0"/>
    <n v="0"/>
    <m/>
    <m/>
    <s v="Not Started"/>
    <s v="No"/>
    <s v="No"/>
    <s v="No"/>
    <m/>
    <m/>
    <n v="0"/>
    <m/>
    <m/>
  </r>
  <r>
    <s v="RC.CO-04 Ex1"/>
    <x v="5"/>
    <s v="Assets and operations affected by a cybersecurity incident are restored"/>
    <x v="19"/>
    <s v="Incident Recovery Communication (RC.CO)"/>
    <s v="Restoration activities are coordinated with internal and external parties"/>
    <s v="RC.CO-04"/>
    <s v="Public updates on incident recovery are shared using approved methods and messaging"/>
    <s v="Ex1: Follow the organization's breach notification procedures for recovering from a data breach incident"/>
    <s v="CP-02,IR-04"/>
    <x v="1"/>
    <m/>
    <m/>
    <m/>
    <s v="CP-02,IR-04"/>
    <m/>
    <n v="0"/>
    <n v="0"/>
    <m/>
    <m/>
    <s v="Not Started"/>
    <s v="No"/>
    <s v="No"/>
    <s v="No"/>
    <n v="0"/>
    <n v="0"/>
    <m/>
    <m/>
    <s v="Not Started"/>
    <s v="No"/>
    <s v="No"/>
    <s v="No"/>
    <n v="0"/>
    <n v="0"/>
    <m/>
    <m/>
    <s v="Not Started"/>
    <s v="No"/>
    <s v="No"/>
    <s v="No"/>
    <n v="0"/>
    <n v="0"/>
    <m/>
    <m/>
    <s v="Not Started"/>
    <s v="No"/>
    <s v="No"/>
    <s v="No"/>
    <m/>
    <m/>
    <n v="0"/>
    <m/>
    <m/>
  </r>
  <r>
    <s v="RC.CO-04 Ex2"/>
    <x v="5"/>
    <s v="Assets and operations affected by a cybersecurity incident are restored"/>
    <x v="19"/>
    <s v="Incident Recovery Communication (RC.CO)"/>
    <s v="Restoration activities are coordinated with internal and external parties"/>
    <s v="RC.CO-04"/>
    <s v="Public updates on incident recovery are shared using approved methods and messaging"/>
    <s v="Ex2: Explain the steps being taken to recover from the incident and to prevent a recurrence"/>
    <s v="CP-02,IR-04"/>
    <x v="1"/>
    <m/>
    <m/>
    <m/>
    <s v="CP-02,IR-04"/>
    <m/>
    <n v="0"/>
    <n v="0"/>
    <m/>
    <m/>
    <s v="Not Started"/>
    <s v="No"/>
    <s v="No"/>
    <s v="No"/>
    <n v="0"/>
    <n v="0"/>
    <m/>
    <m/>
    <s v="Not Started"/>
    <s v="No"/>
    <s v="No"/>
    <s v="No"/>
    <n v="0"/>
    <n v="0"/>
    <m/>
    <m/>
    <s v="Not Started"/>
    <s v="No"/>
    <s v="No"/>
    <s v="No"/>
    <n v="0"/>
    <n v="0"/>
    <m/>
    <m/>
    <s v="Not Started"/>
    <s v="No"/>
    <s v="No"/>
    <s v="No"/>
    <m/>
    <m/>
    <n v="0"/>
    <m/>
    <m/>
  </r>
  <r>
    <s v="RC.RP-01 Ex1"/>
    <x v="5"/>
    <s v="Assets and operations affected by a cybersecurity incident are restored"/>
    <x v="13"/>
    <s v="Incident Recovery Plan Execution (RC.RP)"/>
    <s v="Restoration activities are performed to ensure operational availability of systems and services affected by cybersecurity incidents"/>
    <s v="RC.RP-01"/>
    <s v="The recovery portion of the incident response plan is executed once initiated from the incident response process"/>
    <s v="Ex1: Begin recovery procedures during or after incident response processes"/>
    <s v="CP-10,IR-04,IR-08"/>
    <x v="1"/>
    <m/>
    <m/>
    <m/>
    <s v="CP-10,IR-04,IR-08"/>
    <m/>
    <n v="0"/>
    <n v="0"/>
    <m/>
    <m/>
    <s v="Not Started"/>
    <s v="No"/>
    <s v="No"/>
    <s v="No"/>
    <n v="0"/>
    <n v="0"/>
    <m/>
    <m/>
    <s v="Not Started"/>
    <s v="No"/>
    <s v="No"/>
    <s v="No"/>
    <n v="0"/>
    <n v="0"/>
    <m/>
    <m/>
    <s v="Not Started"/>
    <s v="No"/>
    <s v="No"/>
    <s v="No"/>
    <n v="0"/>
    <n v="0"/>
    <m/>
    <m/>
    <s v="Not Started"/>
    <s v="No"/>
    <s v="No"/>
    <s v="No"/>
    <m/>
    <m/>
    <n v="0"/>
    <m/>
    <m/>
  </r>
  <r>
    <s v="RC.RP-01 Ex2"/>
    <x v="5"/>
    <s v="Assets and operations affected by a cybersecurity incident are restored"/>
    <x v="13"/>
    <s v="Incident Recovery Plan Execution (RC.RP)"/>
    <s v="Restoration activities are performed to ensure operational availability of systems and services affected by cybersecurity incidents"/>
    <s v="RC.RP-01"/>
    <s v="The recovery portion of the incident response plan is executed once initiated from the incident response process"/>
    <s v="Ex2: Make all individuals with recovery responsibilities aware of the plans for recovery and the authorizations required to implement each aspect of the plans"/>
    <s v="CP-10,IR-04,IR-08"/>
    <x v="1"/>
    <m/>
    <m/>
    <m/>
    <s v="CP-10,IR-04,IR-08"/>
    <m/>
    <n v="0"/>
    <n v="0"/>
    <m/>
    <m/>
    <s v="Not Started"/>
    <s v="No"/>
    <s v="No"/>
    <s v="No"/>
    <n v="0"/>
    <n v="0"/>
    <m/>
    <m/>
    <s v="Not Started"/>
    <s v="No"/>
    <s v="No"/>
    <s v="No"/>
    <n v="0"/>
    <n v="0"/>
    <m/>
    <m/>
    <s v="Not Started"/>
    <s v="No"/>
    <s v="No"/>
    <s v="No"/>
    <n v="0"/>
    <n v="0"/>
    <m/>
    <m/>
    <s v="Not Started"/>
    <s v="No"/>
    <s v="No"/>
    <s v="No"/>
    <m/>
    <m/>
    <n v="0"/>
    <m/>
    <m/>
  </r>
  <r>
    <s v="RC.RP-02 Ex1"/>
    <x v="5"/>
    <s v="Assets and operations affected by a cybersecurity incident are restored"/>
    <x v="13"/>
    <s v="Incident Recovery Plan Execution (RC.RP)"/>
    <s v="Restoration activities are performed to ensure operational availability of systems and services affected by cybersecurity incidents"/>
    <s v="RC.RP-02"/>
    <s v="Recovery actions are selected, scoped, prioritized, and performed"/>
    <s v="Ex1: Select recovery actions based on the criteria defined in the incident response plan and available resources"/>
    <s v="CP-10,IR-04,IR-08"/>
    <x v="1"/>
    <m/>
    <m/>
    <m/>
    <s v="CP-10,IR-04,IR-08"/>
    <m/>
    <n v="0"/>
    <n v="0"/>
    <m/>
    <m/>
    <s v="Not Started"/>
    <s v="No"/>
    <s v="No"/>
    <s v="No"/>
    <n v="0"/>
    <n v="0"/>
    <m/>
    <m/>
    <s v="Not Started"/>
    <s v="No"/>
    <s v="No"/>
    <s v="No"/>
    <n v="0"/>
    <n v="0"/>
    <m/>
    <m/>
    <s v="Not Started"/>
    <s v="No"/>
    <s v="No"/>
    <s v="No"/>
    <n v="0"/>
    <n v="0"/>
    <m/>
    <m/>
    <s v="Not Started"/>
    <s v="No"/>
    <s v="No"/>
    <s v="No"/>
    <m/>
    <m/>
    <n v="0"/>
    <m/>
    <m/>
  </r>
  <r>
    <s v="RC.RP-02 Ex2"/>
    <x v="5"/>
    <s v="Assets and operations affected by a cybersecurity incident are restored"/>
    <x v="13"/>
    <s v="Incident Recovery Plan Execution (RC.RP)"/>
    <s v="Restoration activities are performed to ensure operational availability of systems and services affected by cybersecurity incidents"/>
    <s v="RC.RP-02"/>
    <s v="Recovery actions are selected, scoped, prioritized, and performed"/>
    <s v="Ex2: Change planned recovery actions based on a reassessment of organizational needs and resources"/>
    <s v="CP-10,IR-04,IR-08"/>
    <x v="1"/>
    <m/>
    <m/>
    <m/>
    <s v="CP-10,IR-04,IR-08"/>
    <m/>
    <n v="0"/>
    <n v="0"/>
    <m/>
    <m/>
    <s v="Not Started"/>
    <s v="No"/>
    <s v="No"/>
    <s v="No"/>
    <n v="0"/>
    <n v="0"/>
    <m/>
    <m/>
    <s v="Not Started"/>
    <s v="No"/>
    <s v="No"/>
    <s v="No"/>
    <n v="0"/>
    <n v="0"/>
    <m/>
    <m/>
    <s v="Not Started"/>
    <s v="No"/>
    <s v="No"/>
    <s v="No"/>
    <n v="0"/>
    <n v="0"/>
    <m/>
    <m/>
    <s v="Not Started"/>
    <s v="No"/>
    <s v="No"/>
    <s v="No"/>
    <m/>
    <m/>
    <n v="0"/>
    <m/>
    <m/>
  </r>
  <r>
    <s v="RC.RP-04 Ex1"/>
    <x v="5"/>
    <s v="Assets and operations affected by a cybersecurity incident are restored"/>
    <x v="13"/>
    <s v="Incident Recovery Plan Execution (RC.RP)"/>
    <s v="Restoration activities are performed to ensure operational availability of systems and services affected by cybersecurity incidents"/>
    <s v="RC.RP-04"/>
    <s v="Critical mission functions and cybersecurity risk management are considered to establish post-incident operational norms"/>
    <s v="Ex1: Use business impact and system categorization records (including service delivery objectives) to validate that essential services are restored in the appropriate order"/>
    <s v="IR-01,IR-08,PM-08,PM-09,PM-11"/>
    <x v="1"/>
    <m/>
    <m/>
    <m/>
    <s v="IR-01,IR-08,PM-08,PM-09,PM-11"/>
    <m/>
    <n v="0"/>
    <n v="0"/>
    <m/>
    <m/>
    <s v="Not Started"/>
    <s v="No"/>
    <s v="No"/>
    <s v="No"/>
    <n v="0"/>
    <n v="0"/>
    <m/>
    <m/>
    <s v="Not Started"/>
    <s v="No"/>
    <s v="No"/>
    <s v="No"/>
    <n v="0"/>
    <n v="0"/>
    <m/>
    <m/>
    <s v="Not Started"/>
    <s v="No"/>
    <s v="No"/>
    <s v="No"/>
    <n v="0"/>
    <n v="0"/>
    <m/>
    <m/>
    <s v="Not Started"/>
    <s v="No"/>
    <s v="No"/>
    <s v="No"/>
    <m/>
    <m/>
    <n v="0"/>
    <m/>
    <m/>
  </r>
  <r>
    <s v="RC.RP-04 Ex2"/>
    <x v="5"/>
    <s v="Assets and operations affected by a cybersecurity incident are restored"/>
    <x v="13"/>
    <s v="Incident Recovery Plan Execution (RC.RP)"/>
    <s v="Restoration activities are performed to ensure operational availability of systems and services affected by cybersecurity incidents"/>
    <s v="RC.RP-04"/>
    <s v="Critical mission functions and cybersecurity risk management are considered to establish post-incident operational norms"/>
    <s v="Ex2: Work with system owners to confirm the successful restoration of systems and the return to normal operations"/>
    <s v="IR-01,IR-08,PM-08,PM-09,PM-11"/>
    <x v="1"/>
    <m/>
    <m/>
    <m/>
    <s v="IR-01,IR-08,PM-08,PM-09,PM-11"/>
    <m/>
    <n v="0"/>
    <n v="0"/>
    <m/>
    <m/>
    <s v="Not Started"/>
    <s v="No"/>
    <s v="No"/>
    <s v="No"/>
    <n v="0"/>
    <n v="0"/>
    <m/>
    <m/>
    <s v="Not Started"/>
    <s v="No"/>
    <s v="No"/>
    <s v="No"/>
    <n v="0"/>
    <n v="0"/>
    <m/>
    <m/>
    <s v="Not Started"/>
    <s v="No"/>
    <s v="No"/>
    <s v="No"/>
    <n v="0"/>
    <n v="0"/>
    <m/>
    <m/>
    <s v="Not Started"/>
    <s v="No"/>
    <s v="No"/>
    <s v="No"/>
    <m/>
    <m/>
    <n v="0"/>
    <m/>
    <m/>
  </r>
  <r>
    <s v="RC.RP-04 Ex3"/>
    <x v="5"/>
    <s v="Assets and operations affected by a cybersecurity incident are restored"/>
    <x v="13"/>
    <s v="Incident Recovery Plan Execution (RC.RP)"/>
    <s v="Restoration activities are performed to ensure operational availability of systems and services affected by cybersecurity incidents"/>
    <s v="RC.RP-04"/>
    <s v="Critical mission functions and cybersecurity risk management are considered to establish post-incident operational norms"/>
    <s v="Ex3: Monitor the performance of restored systems to verify the adequacy of the restoration"/>
    <s v="IR-01,IR-08,PM-08,PM-09,PM-11"/>
    <x v="1"/>
    <m/>
    <m/>
    <m/>
    <s v="IR-01,IR-08,PM-08,PM-09,PM-11"/>
    <m/>
    <n v="0"/>
    <n v="0"/>
    <m/>
    <m/>
    <s v="Not Started"/>
    <s v="No"/>
    <s v="No"/>
    <s v="No"/>
    <n v="0"/>
    <n v="0"/>
    <m/>
    <m/>
    <s v="Not Started"/>
    <s v="No"/>
    <s v="No"/>
    <s v="No"/>
    <n v="0"/>
    <n v="0"/>
    <m/>
    <m/>
    <s v="Not Started"/>
    <s v="No"/>
    <s v="No"/>
    <s v="No"/>
    <n v="0"/>
    <n v="0"/>
    <m/>
    <m/>
    <s v="Not Started"/>
    <s v="No"/>
    <s v="No"/>
    <s v="No"/>
    <m/>
    <m/>
    <n v="0"/>
    <m/>
    <m/>
  </r>
  <r>
    <s v="RC.RP-05 Ex1"/>
    <x v="5"/>
    <s v="Assets and operations affected by a cybersecurity incident are restored"/>
    <x v="13"/>
    <s v="Incident Recovery Plan Execution (RC.RP)"/>
    <s v="Restoration activities are performed to ensure operational availability of systems and services affected by cybersecurity incidents"/>
    <s v="RC.RP-05"/>
    <s v="The integrity of restored assets is verified, systems and services are restored, and normal operating status is confirmed"/>
    <s v="Ex1: Check restored assets for indicators of compromise and remediation of root causes of the incident before production use"/>
    <s v="CP-10"/>
    <x v="1"/>
    <m/>
    <m/>
    <m/>
    <s v="CP-10"/>
    <m/>
    <n v="0"/>
    <n v="0"/>
    <m/>
    <m/>
    <s v="Not Started"/>
    <s v="No"/>
    <s v="No"/>
    <s v="No"/>
    <n v="0"/>
    <n v="0"/>
    <m/>
    <m/>
    <s v="Not Started"/>
    <s v="No"/>
    <s v="No"/>
    <s v="No"/>
    <n v="0"/>
    <n v="0"/>
    <m/>
    <m/>
    <s v="Not Started"/>
    <s v="No"/>
    <s v="No"/>
    <s v="No"/>
    <n v="0"/>
    <n v="0"/>
    <m/>
    <m/>
    <s v="Not Started"/>
    <s v="No"/>
    <s v="No"/>
    <s v="No"/>
    <m/>
    <m/>
    <n v="0"/>
    <m/>
    <m/>
  </r>
  <r>
    <s v="RC.RP-05 Ex2"/>
    <x v="5"/>
    <s v="Assets and operations affected by a cybersecurity incident are restored"/>
    <x v="13"/>
    <s v="Incident Recovery Plan Execution (RC.RP)"/>
    <s v="Restoration activities are performed to ensure operational availability of systems and services affected by cybersecurity incidents"/>
    <s v="RC.RP-05"/>
    <s v="The integrity of restored assets is verified, systems and services are restored, and normal operating status is confirmed"/>
    <s v="Ex2: Verify the correctness and adequacy of the restoration actions taken before putting a restored system online"/>
    <s v="CP-10"/>
    <x v="1"/>
    <m/>
    <m/>
    <m/>
    <s v="CP-10"/>
    <m/>
    <n v="0"/>
    <n v="0"/>
    <m/>
    <m/>
    <s v="Not Started"/>
    <s v="No"/>
    <s v="No"/>
    <s v="No"/>
    <n v="0"/>
    <n v="0"/>
    <m/>
    <m/>
    <s v="Not Started"/>
    <s v="No"/>
    <s v="No"/>
    <s v="No"/>
    <n v="0"/>
    <n v="0"/>
    <m/>
    <m/>
    <s v="Not Started"/>
    <s v="No"/>
    <s v="No"/>
    <s v="No"/>
    <n v="0"/>
    <n v="0"/>
    <m/>
    <m/>
    <s v="Not Started"/>
    <s v="No"/>
    <s v="No"/>
    <s v="No"/>
    <m/>
    <m/>
    <n v="0"/>
    <m/>
    <m/>
  </r>
  <r>
    <s v="RC.RP-06 Ex1"/>
    <x v="5"/>
    <s v="Assets and operations affected by a cybersecurity incident are restored"/>
    <x v="13"/>
    <s v="Incident Recovery Plan Execution (RC.RP)"/>
    <s v="Restoration activities are performed to ensure operational availability of systems and services affected by cybersecurity incidents"/>
    <s v="RC.RP-06"/>
    <s v="The end of incident recovery is declared based on criteria, and incident-related documentation is completed"/>
    <s v="Ex1: Prepare an after-action report that documents the incident itself, the response and recovery actions taken, and lessons learned"/>
    <s v="IR-04,IR-08"/>
    <x v="1"/>
    <m/>
    <m/>
    <m/>
    <s v="IR-04,IR-08"/>
    <m/>
    <n v="0"/>
    <n v="0"/>
    <m/>
    <m/>
    <s v="Not Started"/>
    <s v="No"/>
    <s v="No"/>
    <s v="No"/>
    <n v="0"/>
    <n v="0"/>
    <m/>
    <m/>
    <s v="Not Started"/>
    <s v="No"/>
    <s v="No"/>
    <s v="No"/>
    <n v="0"/>
    <n v="0"/>
    <m/>
    <m/>
    <s v="Not Started"/>
    <s v="No"/>
    <s v="No"/>
    <s v="No"/>
    <n v="0"/>
    <n v="0"/>
    <m/>
    <m/>
    <s v="Not Started"/>
    <s v="No"/>
    <s v="No"/>
    <s v="No"/>
    <m/>
    <m/>
    <n v="0"/>
    <m/>
    <m/>
  </r>
  <r>
    <s v="RC.RP-06 Ex2"/>
    <x v="5"/>
    <s v="Assets and operations affected by a cybersecurity incident are restored"/>
    <x v="13"/>
    <s v="Incident Recovery Plan Execution (RC.RP)"/>
    <s v="Restoration activities are performed to ensure operational availability of systems and services affected by cybersecurity incidents"/>
    <s v="RC.RP-06"/>
    <s v="The end of incident recovery is declared based on criteria, and incident-related documentation is completed"/>
    <s v="Ex2: Declare the end of incident recovery once the criteria are met"/>
    <s v="IR-04,IR-08"/>
    <x v="1"/>
    <m/>
    <m/>
    <m/>
    <s v="IR-04,IR-08"/>
    <m/>
    <n v="0"/>
    <n v="0"/>
    <m/>
    <m/>
    <s v="Not Started"/>
    <s v="No"/>
    <s v="No"/>
    <s v="No"/>
    <n v="0"/>
    <n v="0"/>
    <m/>
    <m/>
    <s v="Not Started"/>
    <s v="No"/>
    <s v="No"/>
    <s v="No"/>
    <n v="0"/>
    <n v="0"/>
    <m/>
    <m/>
    <s v="Not Started"/>
    <s v="No"/>
    <s v="No"/>
    <s v="No"/>
    <n v="0"/>
    <n v="0"/>
    <m/>
    <m/>
    <s v="Not Started"/>
    <s v="No"/>
    <s v="No"/>
    <s v="No"/>
    <m/>
    <m/>
    <n v="0"/>
    <m/>
    <m/>
  </r>
  <r>
    <s v="RS.AN-03 Ex1"/>
    <x v="3"/>
    <s v="Actions regarding a detected cybersecurity incident are taken"/>
    <x v="20"/>
    <s v="Incident Analysis (RS.AN)"/>
    <s v="Investigations are conducted to ensure effective response and support forensics and recovery activities"/>
    <s v="RS.AN-03"/>
    <s v="Analysis is performed to establish what has taken place during an incident and the root cause of the incident"/>
    <s v="Ex1: Determine the sequence of events that occurred during the incident and which assets and resources were involved in each event"/>
    <s v="AU-07,IR-04"/>
    <x v="1"/>
    <m/>
    <m/>
    <m/>
    <s v="AU-07,IR-04"/>
    <m/>
    <n v="0"/>
    <n v="0"/>
    <m/>
    <m/>
    <s v="Not Started"/>
    <s v="No"/>
    <s v="No"/>
    <s v="No"/>
    <n v="0"/>
    <n v="0"/>
    <m/>
    <m/>
    <s v="Not Started"/>
    <s v="No"/>
    <s v="No"/>
    <s v="No"/>
    <n v="0"/>
    <n v="0"/>
    <m/>
    <m/>
    <s v="Not Started"/>
    <s v="No"/>
    <s v="No"/>
    <s v="No"/>
    <n v="0"/>
    <n v="0"/>
    <m/>
    <m/>
    <s v="Not Started"/>
    <s v="No"/>
    <s v="No"/>
    <s v="No"/>
    <m/>
    <m/>
    <n v="0"/>
    <m/>
    <m/>
  </r>
  <r>
    <s v="RS.AN-03 Ex2"/>
    <x v="3"/>
    <s v="Actions regarding a detected cybersecurity incident are taken"/>
    <x v="20"/>
    <s v="Incident Analysis (RS.AN)"/>
    <s v="Investigations are conducted to ensure effective response and support forensics and recovery activities"/>
    <s v="RS.AN-03"/>
    <s v="Analysis is performed to establish what has taken place during an incident and the root cause of the incident"/>
    <s v="Ex2: Attempt to determine what vulnerabilities, threats, and threat actors were directly or indirectly involved in the incident"/>
    <s v="AU-07,IR-04"/>
    <x v="1"/>
    <m/>
    <m/>
    <m/>
    <s v="AU-07,IR-04"/>
    <m/>
    <n v="0"/>
    <n v="0"/>
    <m/>
    <m/>
    <s v="Not Started"/>
    <s v="No"/>
    <s v="No"/>
    <s v="No"/>
    <n v="0"/>
    <n v="0"/>
    <m/>
    <m/>
    <s v="Not Started"/>
    <s v="No"/>
    <s v="No"/>
    <s v="No"/>
    <n v="0"/>
    <n v="0"/>
    <m/>
    <m/>
    <s v="Not Started"/>
    <s v="No"/>
    <s v="No"/>
    <s v="No"/>
    <n v="0"/>
    <n v="0"/>
    <m/>
    <m/>
    <s v="Not Started"/>
    <s v="No"/>
    <s v="No"/>
    <s v="No"/>
    <m/>
    <m/>
    <n v="0"/>
    <m/>
    <m/>
  </r>
  <r>
    <s v="RS.AN-03 Ex3"/>
    <x v="3"/>
    <s v="Actions regarding a detected cybersecurity incident are taken"/>
    <x v="20"/>
    <s v="Incident Analysis (RS.AN)"/>
    <s v="Investigations are conducted to ensure effective response and support forensics and recovery activities"/>
    <s v="RS.AN-03"/>
    <s v="Analysis is performed to establish what has taken place during an incident and the root cause of the incident"/>
    <s v="Ex3: Analyze the incident to find the underlying, systemic root causes"/>
    <s v="AU-07,IR-04"/>
    <x v="1"/>
    <m/>
    <m/>
    <m/>
    <s v="AU-07,IR-04"/>
    <m/>
    <n v="0"/>
    <n v="0"/>
    <m/>
    <m/>
    <s v="Not Started"/>
    <s v="No"/>
    <s v="No"/>
    <s v="No"/>
    <n v="0"/>
    <n v="0"/>
    <m/>
    <m/>
    <s v="Not Started"/>
    <s v="No"/>
    <s v="No"/>
    <s v="No"/>
    <n v="0"/>
    <n v="0"/>
    <m/>
    <m/>
    <s v="Not Started"/>
    <s v="No"/>
    <s v="No"/>
    <s v="No"/>
    <n v="0"/>
    <n v="0"/>
    <m/>
    <m/>
    <s v="Not Started"/>
    <s v="No"/>
    <s v="No"/>
    <s v="No"/>
    <m/>
    <m/>
    <n v="0"/>
    <m/>
    <m/>
  </r>
  <r>
    <s v="RS.AN-03 Ex4"/>
    <x v="3"/>
    <s v="Actions regarding a detected cybersecurity incident are taken"/>
    <x v="20"/>
    <s v="Incident Analysis (RS.AN)"/>
    <s v="Investigations are conducted to ensure effective response and support forensics and recovery activities"/>
    <s v="RS.AN-03"/>
    <s v="Analysis is performed to establish what has taken place during an incident and the root cause of the incident"/>
    <s v="Ex4: Check any cyber deception technology for additional information on attacker behavior"/>
    <s v="AU-07,IR-04"/>
    <x v="1"/>
    <m/>
    <m/>
    <m/>
    <s v="AU-07,IR-04"/>
    <m/>
    <n v="0"/>
    <n v="0"/>
    <m/>
    <m/>
    <s v="Not Started"/>
    <s v="No"/>
    <s v="No"/>
    <s v="No"/>
    <n v="0"/>
    <n v="0"/>
    <m/>
    <m/>
    <s v="Not Started"/>
    <s v="No"/>
    <s v="No"/>
    <s v="No"/>
    <n v="0"/>
    <n v="0"/>
    <m/>
    <m/>
    <s v="Not Started"/>
    <s v="No"/>
    <s v="No"/>
    <s v="No"/>
    <n v="0"/>
    <n v="0"/>
    <m/>
    <m/>
    <s v="Not Started"/>
    <s v="No"/>
    <s v="No"/>
    <s v="No"/>
    <m/>
    <m/>
    <n v="0"/>
    <m/>
    <m/>
  </r>
  <r>
    <s v="RS.AN-06 Ex1"/>
    <x v="3"/>
    <s v="Actions regarding a detected cybersecurity incident are taken"/>
    <x v="20"/>
    <s v="Incident Analysis (RS.AN)"/>
    <s v="Investigations are conducted to ensure effective response and support forensics and recovery activities"/>
    <s v="RS.AN-06"/>
    <s v="Actions performed during an investigation are recorded, and the records' integrity and provenance are preserved"/>
    <s v="Ex1: Require each incident responder and others (e.g., system administrators, cybersecurity engineers) who perform incident response tasks to record their actions and make the record immutable"/>
    <s v="AU-07,IR-04,IR-06"/>
    <x v="1"/>
    <m/>
    <m/>
    <m/>
    <s v="AU-07,IR-04,IR-06"/>
    <m/>
    <n v="0"/>
    <n v="0"/>
    <m/>
    <m/>
    <s v="Not Started"/>
    <s v="No"/>
    <s v="No"/>
    <s v="No"/>
    <n v="0"/>
    <n v="0"/>
    <m/>
    <m/>
    <s v="Not Started"/>
    <s v="No"/>
    <s v="No"/>
    <s v="No"/>
    <n v="0"/>
    <n v="0"/>
    <m/>
    <m/>
    <s v="Not Started"/>
    <s v="No"/>
    <s v="No"/>
    <s v="No"/>
    <n v="0"/>
    <n v="0"/>
    <m/>
    <m/>
    <s v="Not Started"/>
    <s v="No"/>
    <s v="No"/>
    <s v="No"/>
    <m/>
    <m/>
    <n v="0"/>
    <m/>
    <m/>
  </r>
  <r>
    <s v="RS.AN-06 Ex2"/>
    <x v="3"/>
    <s v="Actions regarding a detected cybersecurity incident are taken"/>
    <x v="20"/>
    <s v="Incident Analysis (RS.AN)"/>
    <s v="Investigations are conducted to ensure effective response and support forensics and recovery activities"/>
    <s v="RS.AN-06"/>
    <s v="Actions performed during an investigation are recorded, and the records' integrity and provenance are preserved"/>
    <s v="Ex2: Require the incident lead to document the incident in detail and be responsible for preserving the integrity of the documentation and the sources of all information being reported"/>
    <s v="AU-07,IR-04,IR-06"/>
    <x v="1"/>
    <m/>
    <m/>
    <m/>
    <s v="AU-07,IR-04,IR-06"/>
    <m/>
    <n v="0"/>
    <n v="0"/>
    <m/>
    <m/>
    <s v="Not Started"/>
    <s v="No"/>
    <s v="No"/>
    <s v="No"/>
    <n v="0"/>
    <n v="0"/>
    <m/>
    <m/>
    <s v="Not Started"/>
    <s v="No"/>
    <s v="No"/>
    <s v="No"/>
    <n v="0"/>
    <n v="0"/>
    <m/>
    <m/>
    <s v="Not Started"/>
    <s v="No"/>
    <s v="No"/>
    <s v="No"/>
    <n v="0"/>
    <n v="0"/>
    <m/>
    <m/>
    <s v="Not Started"/>
    <s v="No"/>
    <s v="No"/>
    <s v="No"/>
    <m/>
    <m/>
    <n v="0"/>
    <m/>
    <m/>
  </r>
  <r>
    <s v="RS.AN-07 Ex1"/>
    <x v="3"/>
    <s v="Actions regarding a detected cybersecurity incident are taken"/>
    <x v="20"/>
    <s v="Incident Analysis (RS.AN)"/>
    <s v="Investigations are conducted to ensure effective response and support forensics and recovery activities"/>
    <s v="RS.AN-07"/>
    <s v="Incident data and metadata are collected, and their integrity and provenance are preserved"/>
    <s v="Ex1: Collect, preserve, and safeguard the integrity of all pertinent incident data and metadata (e.g., data source, date/time of collection) based on evidence preservation and chain-of-custody procedures"/>
    <s v="AU-07,IR-04,IR-06"/>
    <x v="1"/>
    <m/>
    <m/>
    <m/>
    <s v="AU-07,IR-04,IR-06"/>
    <m/>
    <n v="0"/>
    <n v="0"/>
    <m/>
    <m/>
    <s v="Not Started"/>
    <s v="No"/>
    <s v="No"/>
    <s v="No"/>
    <n v="0"/>
    <n v="0"/>
    <m/>
    <m/>
    <s v="Not Started"/>
    <s v="No"/>
    <s v="No"/>
    <s v="No"/>
    <n v="0"/>
    <n v="0"/>
    <m/>
    <m/>
    <s v="Not Started"/>
    <s v="No"/>
    <s v="No"/>
    <s v="No"/>
    <n v="0"/>
    <n v="0"/>
    <m/>
    <m/>
    <s v="Not Started"/>
    <s v="No"/>
    <s v="No"/>
    <s v="No"/>
    <m/>
    <m/>
    <n v="0"/>
    <m/>
    <m/>
  </r>
  <r>
    <s v="RS.AN-08 Ex1"/>
    <x v="3"/>
    <s v="Actions regarding a detected cybersecurity incident are taken"/>
    <x v="20"/>
    <s v="Incident Analysis (RS.AN)"/>
    <s v="Investigations are conducted to ensure effective response and support forensics and recovery activities"/>
    <s v="RS.AN-08"/>
    <s v="An incident's magnitude is estimated and validated"/>
    <s v="Ex1: Review other potential targets of the incident to search for indicators of compromise and evidence of persistence"/>
    <s v="IR-04,IR-08,RA-03,RA-07"/>
    <x v="1"/>
    <m/>
    <m/>
    <m/>
    <s v="IR-04,IR-08,RA-03,RA-07"/>
    <m/>
    <n v="0"/>
    <n v="0"/>
    <m/>
    <m/>
    <s v="Not Started"/>
    <s v="No"/>
    <s v="No"/>
    <s v="No"/>
    <n v="0"/>
    <n v="0"/>
    <m/>
    <m/>
    <s v="Not Started"/>
    <s v="No"/>
    <s v="No"/>
    <s v="No"/>
    <n v="0"/>
    <n v="0"/>
    <m/>
    <m/>
    <s v="Not Started"/>
    <s v="No"/>
    <s v="No"/>
    <s v="No"/>
    <n v="0"/>
    <n v="0"/>
    <m/>
    <m/>
    <s v="Not Started"/>
    <s v="No"/>
    <s v="No"/>
    <s v="No"/>
    <m/>
    <m/>
    <n v="0"/>
    <m/>
    <m/>
  </r>
  <r>
    <s v="RS.AN-08 Ex2"/>
    <x v="3"/>
    <s v="Actions regarding a detected cybersecurity incident are taken"/>
    <x v="20"/>
    <s v="Incident Analysis (RS.AN)"/>
    <s v="Investigations are conducted to ensure effective response and support forensics and recovery activities"/>
    <s v="RS.AN-08"/>
    <s v="An incident's magnitude is estimated and validated"/>
    <s v="Ex2: Automatically run tools on targets to look for indicators of compromise and evidence of persistence"/>
    <s v="IR-04,IR-08,RA-03,RA-07"/>
    <x v="1"/>
    <m/>
    <m/>
    <m/>
    <s v="IR-04,IR-08,RA-03,RA-07"/>
    <m/>
    <n v="0"/>
    <n v="0"/>
    <m/>
    <m/>
    <s v="Not Started"/>
    <s v="No"/>
    <s v="No"/>
    <s v="No"/>
    <n v="0"/>
    <n v="0"/>
    <m/>
    <m/>
    <s v="Not Started"/>
    <s v="No"/>
    <s v="No"/>
    <s v="No"/>
    <n v="0"/>
    <n v="0"/>
    <m/>
    <m/>
    <s v="Not Started"/>
    <s v="No"/>
    <s v="No"/>
    <s v="No"/>
    <n v="0"/>
    <n v="0"/>
    <m/>
    <m/>
    <s v="Not Started"/>
    <s v="No"/>
    <s v="No"/>
    <s v="No"/>
    <m/>
    <m/>
    <n v="0"/>
    <m/>
    <m/>
  </r>
  <r>
    <s v="RS.CO-02 Ex1"/>
    <x v="3"/>
    <s v="Actions regarding a detected cybersecurity incident are taken"/>
    <x v="21"/>
    <s v="Incident Response Reporting and Communication (RS.CO)"/>
    <s v="Response activities are coordinated with internal and external stakeholders as required by laws, regulations, or policies"/>
    <s v="RS.CO-02"/>
    <s v="Internal and external stakeholders are notified of incidents"/>
    <s v="Ex1: Follow the organization's breach notification procedures after discovering a data breach incident, including notifying affected customers"/>
    <s v="IR-04,IR-06,IR-07,SR-03,SR-08"/>
    <x v="1"/>
    <m/>
    <m/>
    <m/>
    <s v="IR-04,IR-06,IR-07,SR-03,SR-08"/>
    <m/>
    <n v="0"/>
    <n v="0"/>
    <m/>
    <m/>
    <s v="Not Started"/>
    <s v="No"/>
    <s v="No"/>
    <s v="No"/>
    <n v="0"/>
    <n v="0"/>
    <m/>
    <m/>
    <s v="Not Started"/>
    <s v="No"/>
    <s v="No"/>
    <s v="No"/>
    <n v="0"/>
    <n v="0"/>
    <m/>
    <m/>
    <s v="Not Started"/>
    <s v="No"/>
    <s v="No"/>
    <s v="No"/>
    <n v="0"/>
    <n v="0"/>
    <m/>
    <m/>
    <s v="Not Started"/>
    <s v="No"/>
    <s v="No"/>
    <s v="No"/>
    <m/>
    <m/>
    <n v="0"/>
    <m/>
    <m/>
  </r>
  <r>
    <s v="RS.CO-02 Ex2"/>
    <x v="3"/>
    <s v="Actions regarding a detected cybersecurity incident are taken"/>
    <x v="21"/>
    <s v="Incident Response Reporting and Communication (RS.CO)"/>
    <s v="Response activities are coordinated with internal and external stakeholders as required by laws, regulations, or policies"/>
    <s v="RS.CO-02"/>
    <s v="Internal and external stakeholders are notified of incidents"/>
    <s v="Ex2: Notify business partners and customers of incidents in accordance with contractual requirements"/>
    <s v="IR-04,IR-06,IR-07,SR-03,SR-08"/>
    <x v="1"/>
    <m/>
    <m/>
    <m/>
    <s v="IR-04,IR-06,IR-07,SR-03,SR-08"/>
    <m/>
    <n v="0"/>
    <n v="0"/>
    <m/>
    <m/>
    <s v="Not Started"/>
    <s v="No"/>
    <s v="No"/>
    <s v="No"/>
    <n v="0"/>
    <n v="0"/>
    <m/>
    <m/>
    <s v="Not Started"/>
    <s v="No"/>
    <s v="No"/>
    <s v="No"/>
    <n v="0"/>
    <n v="0"/>
    <m/>
    <m/>
    <s v="Not Started"/>
    <s v="No"/>
    <s v="No"/>
    <s v="No"/>
    <n v="0"/>
    <n v="0"/>
    <m/>
    <m/>
    <s v="Not Started"/>
    <s v="No"/>
    <s v="No"/>
    <s v="No"/>
    <m/>
    <m/>
    <n v="0"/>
    <m/>
    <m/>
  </r>
  <r>
    <s v="RS.CO-02 Ex3"/>
    <x v="3"/>
    <s v="Actions regarding a detected cybersecurity incident are taken"/>
    <x v="21"/>
    <s v="Incident Response Reporting and Communication (RS.CO)"/>
    <s v="Response activities are coordinated with internal and external stakeholders as required by laws, regulations, or policies"/>
    <s v="RS.CO-02"/>
    <s v="Internal and external stakeholders are notified of incidents"/>
    <s v="Ex3: Notify law enforcement agencies and regulatory bodies of incidents based on criteria in the incident response plan and management approval"/>
    <s v="IR-04,IR-06,IR-07,SR-03,SR-08"/>
    <x v="1"/>
    <m/>
    <m/>
    <m/>
    <s v="IR-04,IR-06,IR-07,SR-03,SR-08"/>
    <m/>
    <n v="0"/>
    <n v="0"/>
    <m/>
    <m/>
    <s v="Not Started"/>
    <s v="No"/>
    <s v="No"/>
    <s v="No"/>
    <n v="0"/>
    <n v="0"/>
    <m/>
    <m/>
    <s v="Not Started"/>
    <s v="No"/>
    <s v="No"/>
    <s v="No"/>
    <n v="0"/>
    <n v="0"/>
    <m/>
    <m/>
    <s v="Not Started"/>
    <s v="No"/>
    <s v="No"/>
    <s v="No"/>
    <n v="0"/>
    <n v="0"/>
    <m/>
    <m/>
    <s v="Not Started"/>
    <s v="No"/>
    <s v="No"/>
    <s v="No"/>
    <m/>
    <m/>
    <n v="0"/>
    <m/>
    <m/>
  </r>
  <r>
    <s v="RS.CO-03 Ex1"/>
    <x v="3"/>
    <s v="Actions regarding a detected cybersecurity incident are taken"/>
    <x v="21"/>
    <s v="Incident Response Reporting and Communication (RS.CO)"/>
    <s v="Response activities are coordinated with internal and external stakeholders as required by laws, regulations, or policies"/>
    <s v="RS.CO-03"/>
    <s v="Information is shared with designated internal and external stakeholders"/>
    <s v="Ex1: Securely share information consistent with response plans and information sharing agreements"/>
    <s v="IR-04,IR-06,IR-07,SR-03,SR-08"/>
    <x v="1"/>
    <m/>
    <m/>
    <m/>
    <s v="IR-04,IR-06,IR-07,SR-03,SR-08"/>
    <m/>
    <n v="0"/>
    <n v="0"/>
    <m/>
    <m/>
    <s v="Not Started"/>
    <s v="No"/>
    <s v="No"/>
    <s v="No"/>
    <n v="0"/>
    <n v="0"/>
    <m/>
    <m/>
    <s v="Not Started"/>
    <s v="No"/>
    <s v="No"/>
    <s v="No"/>
    <n v="0"/>
    <n v="0"/>
    <m/>
    <m/>
    <s v="Not Started"/>
    <s v="No"/>
    <s v="No"/>
    <s v="No"/>
    <n v="0"/>
    <n v="0"/>
    <m/>
    <m/>
    <s v="Not Started"/>
    <s v="No"/>
    <s v="No"/>
    <s v="No"/>
    <m/>
    <m/>
    <n v="0"/>
    <m/>
    <m/>
  </r>
  <r>
    <s v="RS.CO-03 Ex2"/>
    <x v="3"/>
    <s v="Actions regarding a detected cybersecurity incident are taken"/>
    <x v="21"/>
    <s v="Incident Response Reporting and Communication (RS.CO)"/>
    <s v="Response activities are coordinated with internal and external stakeholders as required by laws, regulations, or policies"/>
    <s v="RS.CO-03"/>
    <s v="Information is shared with designated internal and external stakeholders"/>
    <s v="Ex2: Voluntarily share information about an attacker's observed TTPs, with all sensitive data removed, with an Information Sharing and Analysis Center (ISAC)"/>
    <s v="IR-04,IR-06,IR-07,SR-03,SR-08"/>
    <x v="1"/>
    <m/>
    <m/>
    <m/>
    <s v="IR-04,IR-06,IR-07,SR-03,SR-08"/>
    <m/>
    <n v="0"/>
    <n v="0"/>
    <m/>
    <m/>
    <s v="Not Started"/>
    <s v="No"/>
    <s v="No"/>
    <s v="No"/>
    <n v="0"/>
    <n v="0"/>
    <m/>
    <m/>
    <s v="Not Started"/>
    <s v="No"/>
    <s v="No"/>
    <s v="No"/>
    <n v="0"/>
    <n v="0"/>
    <m/>
    <m/>
    <s v="Not Started"/>
    <s v="No"/>
    <s v="No"/>
    <s v="No"/>
    <n v="0"/>
    <n v="0"/>
    <m/>
    <m/>
    <s v="Not Started"/>
    <s v="No"/>
    <s v="No"/>
    <s v="No"/>
    <m/>
    <m/>
    <n v="0"/>
    <m/>
    <m/>
  </r>
  <r>
    <s v="RS.CO-03 Ex3"/>
    <x v="3"/>
    <s v="Actions regarding a detected cybersecurity incident are taken"/>
    <x v="21"/>
    <s v="Incident Response Reporting and Communication (RS.CO)"/>
    <s v="Response activities are coordinated with internal and external stakeholders as required by laws, regulations, or policies"/>
    <s v="RS.CO-03"/>
    <s v="Information is shared with designated internal and external stakeholders"/>
    <s v="Ex3: Notify HR when malicious insider activity occurs"/>
    <s v="IR-04,IR-06,IR-07,SR-03,SR-08"/>
    <x v="1"/>
    <m/>
    <m/>
    <m/>
    <s v="IR-04,IR-06,IR-07,SR-03,SR-08"/>
    <m/>
    <n v="0"/>
    <n v="0"/>
    <m/>
    <m/>
    <s v="Not Started"/>
    <s v="No"/>
    <s v="No"/>
    <s v="No"/>
    <n v="0"/>
    <n v="0"/>
    <m/>
    <m/>
    <s v="Not Started"/>
    <s v="No"/>
    <s v="No"/>
    <s v="No"/>
    <n v="0"/>
    <n v="0"/>
    <m/>
    <m/>
    <s v="Not Started"/>
    <s v="No"/>
    <s v="No"/>
    <s v="No"/>
    <n v="0"/>
    <n v="0"/>
    <m/>
    <m/>
    <s v="Not Started"/>
    <s v="No"/>
    <s v="No"/>
    <s v="No"/>
    <m/>
    <m/>
    <n v="0"/>
    <m/>
    <m/>
  </r>
  <r>
    <s v="RS.CO-03 Ex4"/>
    <x v="3"/>
    <s v="Actions regarding a detected cybersecurity incident are taken"/>
    <x v="21"/>
    <s v="Incident Response Reporting and Communication (RS.CO)"/>
    <s v="Response activities are coordinated with internal and external stakeholders as required by laws, regulations, or policies"/>
    <s v="RS.CO-03"/>
    <s v="Information is shared with designated internal and external stakeholders"/>
    <s v="Ex4: Regularly update senior leadership on the status of major incidents"/>
    <s v="IR-04,IR-06,IR-07,SR-03,SR-08"/>
    <x v="1"/>
    <m/>
    <m/>
    <m/>
    <s v="IR-04,IR-06,IR-07,SR-03,SR-08"/>
    <m/>
    <n v="0"/>
    <n v="0"/>
    <m/>
    <m/>
    <s v="Not Started"/>
    <s v="No"/>
    <s v="No"/>
    <s v="No"/>
    <n v="0"/>
    <n v="0"/>
    <m/>
    <m/>
    <s v="Not Started"/>
    <s v="No"/>
    <s v="No"/>
    <s v="No"/>
    <n v="0"/>
    <n v="0"/>
    <m/>
    <m/>
    <s v="Not Started"/>
    <s v="No"/>
    <s v="No"/>
    <s v="No"/>
    <n v="0"/>
    <n v="0"/>
    <m/>
    <m/>
    <s v="Not Started"/>
    <s v="No"/>
    <s v="No"/>
    <s v="No"/>
    <m/>
    <m/>
    <n v="0"/>
    <m/>
    <m/>
  </r>
  <r>
    <s v="RS.CO-03 Ex5"/>
    <x v="3"/>
    <s v="Actions regarding a detected cybersecurity incident are taken"/>
    <x v="21"/>
    <s v="Incident Response Reporting and Communication (RS.CO)"/>
    <s v="Response activities are coordinated with internal and external stakeholders as required by laws, regulations, or policies"/>
    <s v="RS.CO-03"/>
    <s v="Information is shared with designated internal and external stakeholders"/>
    <s v="Ex5: Follow the rules and protocols defined in contracts for incident information sharing between the organization and its suppliers"/>
    <s v="IR-04,IR-06,IR-07,SR-03,SR-08"/>
    <x v="1"/>
    <m/>
    <m/>
    <m/>
    <s v="IR-04,IR-06,IR-07,SR-03,SR-08"/>
    <m/>
    <n v="0"/>
    <n v="0"/>
    <m/>
    <m/>
    <s v="Not Started"/>
    <s v="No"/>
    <s v="No"/>
    <s v="No"/>
    <n v="0"/>
    <n v="0"/>
    <m/>
    <m/>
    <s v="Not Started"/>
    <s v="No"/>
    <s v="No"/>
    <s v="No"/>
    <n v="0"/>
    <n v="0"/>
    <m/>
    <m/>
    <s v="Not Started"/>
    <s v="No"/>
    <s v="No"/>
    <s v="No"/>
    <n v="0"/>
    <n v="0"/>
    <m/>
    <m/>
    <s v="Not Started"/>
    <s v="No"/>
    <s v="No"/>
    <s v="No"/>
    <m/>
    <m/>
    <n v="0"/>
    <m/>
    <m/>
  </r>
  <r>
    <s v="RS.CO-03 Ex6"/>
    <x v="3"/>
    <s v="Actions regarding a detected cybersecurity incident are taken"/>
    <x v="21"/>
    <s v="Incident Response Reporting and Communication (RS.CO)"/>
    <s v="Response activities are coordinated with internal and external stakeholders as required by laws, regulations, or policies"/>
    <s v="RS.CO-03"/>
    <s v="Information is shared with designated internal and external stakeholders"/>
    <s v="Ex6: Coordinate crisis communication methods between the organization and its critical suppliers"/>
    <s v="IR-04,IR-06,IR-07,SR-03,SR-08"/>
    <x v="1"/>
    <m/>
    <m/>
    <m/>
    <s v="IR-04,IR-06,IR-07,SR-03,SR-08"/>
    <m/>
    <n v="0"/>
    <n v="0"/>
    <m/>
    <m/>
    <s v="Not Started"/>
    <s v="No"/>
    <s v="No"/>
    <s v="No"/>
    <n v="0"/>
    <n v="0"/>
    <m/>
    <m/>
    <s v="Not Started"/>
    <s v="No"/>
    <s v="No"/>
    <s v="No"/>
    <n v="0"/>
    <n v="0"/>
    <m/>
    <m/>
    <s v="Not Started"/>
    <s v="No"/>
    <s v="No"/>
    <s v="No"/>
    <n v="0"/>
    <n v="0"/>
    <m/>
    <m/>
    <s v="Not Started"/>
    <s v="No"/>
    <s v="No"/>
    <s v="No"/>
    <m/>
    <m/>
    <n v="0"/>
    <m/>
    <m/>
  </r>
  <r>
    <s v="RS.MA-01 Ex1"/>
    <x v="3"/>
    <s v="Actions regarding a detected cybersecurity incident are taken"/>
    <x v="16"/>
    <s v="Incident Management (RS.MA)"/>
    <s v="Responses to detected cybersecurity incidents are managed"/>
    <s v="RS.MA-01"/>
    <s v="The incident response plan is executed in coordination with relevant third parties once an incident is declared"/>
    <s v="Ex1: Detection technologies automatically report confirmed incidents"/>
    <s v="IR-06,IR-07,IR-08,SR-03,SR-08"/>
    <x v="1"/>
    <m/>
    <m/>
    <m/>
    <s v="IR-06,IR-07,IR-08,SR-03,SR-08"/>
    <m/>
    <n v="0"/>
    <n v="0"/>
    <m/>
    <m/>
    <s v="Not Started"/>
    <s v="No"/>
    <s v="No"/>
    <s v="No"/>
    <n v="0"/>
    <n v="0"/>
    <m/>
    <m/>
    <s v="Not Started"/>
    <s v="No"/>
    <s v="No"/>
    <s v="No"/>
    <n v="0"/>
    <n v="0"/>
    <m/>
    <m/>
    <s v="Not Started"/>
    <s v="No"/>
    <s v="No"/>
    <s v="No"/>
    <n v="0"/>
    <n v="0"/>
    <m/>
    <m/>
    <s v="Not Started"/>
    <s v="No"/>
    <s v="No"/>
    <s v="No"/>
    <m/>
    <m/>
    <n v="0"/>
    <m/>
    <m/>
  </r>
  <r>
    <s v="RS.MA-01 Ex2"/>
    <x v="3"/>
    <s v="Actions regarding a detected cybersecurity incident are taken"/>
    <x v="16"/>
    <s v="Incident Management (RS.MA)"/>
    <s v="Responses to detected cybersecurity incidents are managed"/>
    <s v="RS.MA-01"/>
    <s v="The incident response plan is executed in coordination with relevant third parties once an incident is declared"/>
    <s v="Ex2: Request incident response assistance from the organization's incident response outsourcer"/>
    <s v="IR-06,IR-07,IR-08,SR-03,SR-08"/>
    <x v="1"/>
    <m/>
    <m/>
    <m/>
    <s v="IR-06,IR-07,IR-08,SR-03,SR-08"/>
    <m/>
    <n v="0"/>
    <n v="0"/>
    <m/>
    <m/>
    <s v="Not Started"/>
    <s v="No"/>
    <s v="No"/>
    <s v="No"/>
    <n v="0"/>
    <n v="0"/>
    <m/>
    <m/>
    <s v="Not Started"/>
    <s v="No"/>
    <s v="No"/>
    <s v="No"/>
    <n v="0"/>
    <n v="0"/>
    <m/>
    <m/>
    <s v="Not Started"/>
    <s v="No"/>
    <s v="No"/>
    <s v="No"/>
    <n v="0"/>
    <n v="0"/>
    <m/>
    <m/>
    <s v="Not Started"/>
    <s v="No"/>
    <s v="No"/>
    <s v="No"/>
    <m/>
    <m/>
    <n v="0"/>
    <m/>
    <m/>
  </r>
  <r>
    <s v="RS.MA-01 Ex3"/>
    <x v="3"/>
    <s v="Actions regarding a detected cybersecurity incident are taken"/>
    <x v="16"/>
    <s v="Incident Management (RS.MA)"/>
    <s v="Responses to detected cybersecurity incidents are managed"/>
    <s v="RS.MA-01"/>
    <s v="The incident response plan is executed in coordination with relevant third parties once an incident is declared"/>
    <s v="Ex3: Designate an incident lead for each incident"/>
    <s v="IR-06,IR-07,IR-08,SR-03,SR-08"/>
    <x v="1"/>
    <m/>
    <m/>
    <m/>
    <s v="IR-06,IR-07,IR-08,SR-03,SR-08"/>
    <m/>
    <n v="0"/>
    <n v="0"/>
    <m/>
    <m/>
    <s v="Not Started"/>
    <s v="No"/>
    <s v="No"/>
    <s v="No"/>
    <n v="0"/>
    <n v="0"/>
    <m/>
    <m/>
    <s v="Not Started"/>
    <s v="No"/>
    <s v="No"/>
    <s v="No"/>
    <n v="0"/>
    <n v="0"/>
    <m/>
    <m/>
    <s v="Not Started"/>
    <s v="No"/>
    <s v="No"/>
    <s v="No"/>
    <n v="0"/>
    <n v="0"/>
    <m/>
    <m/>
    <s v="Not Started"/>
    <s v="No"/>
    <s v="No"/>
    <s v="No"/>
    <m/>
    <m/>
    <n v="0"/>
    <m/>
    <m/>
  </r>
  <r>
    <s v="RS.MA-01 Ex4"/>
    <x v="3"/>
    <s v="Actions regarding a detected cybersecurity incident are taken"/>
    <x v="16"/>
    <s v="Incident Management (RS.MA)"/>
    <s v="Responses to detected cybersecurity incidents are managed"/>
    <s v="RS.MA-01"/>
    <s v="The incident response plan is executed in coordination with relevant third parties once an incident is declared"/>
    <s v="Ex4: Initiate execution of additional cybersecurity plans as needed to support incident response (for example, business continuity and disaster recovery)"/>
    <s v="IR-06,IR-07,IR-08,SR-03,SR-08"/>
    <x v="1"/>
    <m/>
    <m/>
    <m/>
    <s v="IR-06,IR-07,IR-08,SR-03,SR-08"/>
    <m/>
    <n v="0"/>
    <n v="0"/>
    <m/>
    <m/>
    <s v="Not Started"/>
    <s v="No"/>
    <s v="No"/>
    <s v="No"/>
    <n v="0"/>
    <n v="0"/>
    <m/>
    <m/>
    <s v="Not Started"/>
    <s v="No"/>
    <s v="No"/>
    <s v="No"/>
    <n v="0"/>
    <n v="0"/>
    <m/>
    <m/>
    <s v="Not Started"/>
    <s v="No"/>
    <s v="No"/>
    <s v="No"/>
    <n v="0"/>
    <n v="0"/>
    <m/>
    <m/>
    <s v="Not Started"/>
    <s v="No"/>
    <s v="No"/>
    <s v="No"/>
    <m/>
    <m/>
    <n v="0"/>
    <m/>
    <m/>
  </r>
  <r>
    <s v="RS.MA-02 Ex1"/>
    <x v="3"/>
    <s v="Actions regarding a detected cybersecurity incident are taken"/>
    <x v="16"/>
    <s v="Incident Management (RS.MA)"/>
    <s v="Responses to detected cybersecurity incidents are managed"/>
    <s v="RS.MA-02"/>
    <s v="Incident reports are triaged and validated"/>
    <s v="Ex1: Preliminarily review incident reports to confirm that they are cybersecurity-related and necessitate incident response activities"/>
    <s v="IR-04,IR-05,IR-06"/>
    <x v="1"/>
    <m/>
    <m/>
    <m/>
    <s v="IR-04,IR-05,IR-06"/>
    <m/>
    <n v="0"/>
    <n v="0"/>
    <m/>
    <m/>
    <s v="Not Started"/>
    <s v="No"/>
    <s v="No"/>
    <s v="No"/>
    <n v="0"/>
    <n v="0"/>
    <m/>
    <m/>
    <s v="Not Started"/>
    <s v="No"/>
    <s v="No"/>
    <s v="No"/>
    <n v="0"/>
    <n v="0"/>
    <m/>
    <m/>
    <s v="Not Started"/>
    <s v="No"/>
    <s v="No"/>
    <s v="No"/>
    <n v="0"/>
    <n v="0"/>
    <m/>
    <m/>
    <s v="Not Started"/>
    <s v="No"/>
    <s v="No"/>
    <s v="No"/>
    <m/>
    <m/>
    <n v="0"/>
    <m/>
    <m/>
  </r>
  <r>
    <s v="RS.MA-02 Ex2"/>
    <x v="3"/>
    <s v="Actions regarding a detected cybersecurity incident are taken"/>
    <x v="16"/>
    <s v="Incident Management (RS.MA)"/>
    <s v="Responses to detected cybersecurity incidents are managed"/>
    <s v="RS.MA-02"/>
    <s v="Incident reports are triaged and validated"/>
    <s v="Ex2: Apply criteria to estimate the severity of an incident"/>
    <s v="IR-04,IR-05,IR-06"/>
    <x v="1"/>
    <m/>
    <m/>
    <m/>
    <s v="IR-04,IR-05,IR-06"/>
    <m/>
    <n v="0"/>
    <n v="0"/>
    <m/>
    <m/>
    <s v="Not Started"/>
    <s v="No"/>
    <s v="No"/>
    <s v="No"/>
    <n v="0"/>
    <n v="0"/>
    <m/>
    <m/>
    <s v="Not Started"/>
    <s v="No"/>
    <s v="No"/>
    <s v="No"/>
    <n v="0"/>
    <n v="0"/>
    <m/>
    <m/>
    <s v="Not Started"/>
    <s v="No"/>
    <s v="No"/>
    <s v="No"/>
    <n v="0"/>
    <n v="0"/>
    <m/>
    <m/>
    <s v="Not Started"/>
    <s v="No"/>
    <s v="No"/>
    <s v="No"/>
    <m/>
    <m/>
    <n v="0"/>
    <m/>
    <m/>
  </r>
  <r>
    <s v="RS.MA-03 Ex1"/>
    <x v="3"/>
    <s v="Actions regarding a detected cybersecurity incident are taken"/>
    <x v="16"/>
    <s v="Incident Management (RS.MA)"/>
    <s v="Responses to detected cybersecurity incidents are managed"/>
    <s v="RS.MA-03"/>
    <s v="Incidents are categorized and prioritized"/>
    <s v="Ex1: Further review and categorize incidents based on the type of incident (e.g., data breach, ransomware, DDoS, account compromise)"/>
    <s v="IR-04,IR-05,IR-06"/>
    <x v="1"/>
    <m/>
    <m/>
    <m/>
    <s v="IR-04,IR-05,IR-06"/>
    <m/>
    <n v="0"/>
    <n v="0"/>
    <m/>
    <m/>
    <s v="Not Started"/>
    <s v="No"/>
    <s v="No"/>
    <s v="No"/>
    <n v="0"/>
    <n v="0"/>
    <m/>
    <m/>
    <s v="Not Started"/>
    <s v="No"/>
    <s v="No"/>
    <s v="No"/>
    <n v="0"/>
    <n v="0"/>
    <m/>
    <m/>
    <s v="Not Started"/>
    <s v="No"/>
    <s v="No"/>
    <s v="No"/>
    <n v="0"/>
    <n v="0"/>
    <m/>
    <m/>
    <s v="Not Started"/>
    <s v="No"/>
    <s v="No"/>
    <s v="No"/>
    <m/>
    <m/>
    <n v="0"/>
    <m/>
    <m/>
  </r>
  <r>
    <s v="RS.MA-03 Ex3"/>
    <x v="3"/>
    <s v="Actions regarding a detected cybersecurity incident are taken"/>
    <x v="16"/>
    <s v="Incident Management (RS.MA)"/>
    <s v="Responses to detected cybersecurity incidents are managed"/>
    <s v="RS.MA-03"/>
    <s v="Incidents are categorized and prioritized"/>
    <s v="Ex3: Select incident response strategies for active incidents by balancing the need to quickly recover from an incident with the need to observe the attacker or conduct a more thorough investigation"/>
    <s v="IR-04,IR-05,IR-06"/>
    <x v="1"/>
    <m/>
    <m/>
    <m/>
    <s v="IR-04,IR-05,IR-06"/>
    <m/>
    <n v="0"/>
    <n v="0"/>
    <m/>
    <m/>
    <s v="Not Started"/>
    <s v="No"/>
    <s v="No"/>
    <s v="No"/>
    <n v="0"/>
    <n v="0"/>
    <m/>
    <m/>
    <s v="Not Started"/>
    <s v="No"/>
    <s v="No"/>
    <s v="No"/>
    <n v="0"/>
    <n v="0"/>
    <m/>
    <m/>
    <s v="Not Started"/>
    <s v="No"/>
    <s v="No"/>
    <s v="No"/>
    <n v="0"/>
    <n v="0"/>
    <m/>
    <m/>
    <s v="Not Started"/>
    <s v="No"/>
    <s v="No"/>
    <s v="No"/>
    <m/>
    <m/>
    <n v="0"/>
    <m/>
    <m/>
  </r>
  <r>
    <s v="RS.MA-04 Ex1"/>
    <x v="3"/>
    <s v="Actions regarding a detected cybersecurity incident are taken"/>
    <x v="16"/>
    <s v="Incident Management (RS.MA)"/>
    <s v="Responses to detected cybersecurity incidents are managed"/>
    <s v="RS.MA-04"/>
    <s v="Incidents are escalated or elevated as needed"/>
    <s v="Ex1: Track and validate the status of all ongoing incidents"/>
    <s v="IR-04,IR-05,IR-06,IR-07"/>
    <x v="1"/>
    <m/>
    <m/>
    <m/>
    <s v="IR-04,IR-05,IR-06,IR-07"/>
    <m/>
    <n v="0"/>
    <n v="0"/>
    <m/>
    <m/>
    <s v="Not Started"/>
    <s v="No"/>
    <s v="No"/>
    <s v="No"/>
    <n v="0"/>
    <n v="0"/>
    <m/>
    <m/>
    <s v="Not Started"/>
    <s v="No"/>
    <s v="No"/>
    <s v="No"/>
    <n v="0"/>
    <n v="0"/>
    <m/>
    <m/>
    <s v="Not Started"/>
    <s v="No"/>
    <s v="No"/>
    <s v="No"/>
    <n v="0"/>
    <n v="0"/>
    <m/>
    <m/>
    <s v="Not Started"/>
    <s v="No"/>
    <s v="No"/>
    <s v="No"/>
    <m/>
    <m/>
    <n v="0"/>
    <m/>
    <m/>
  </r>
  <r>
    <s v="RS.MA-04 Ex2"/>
    <x v="3"/>
    <s v="Actions regarding a detected cybersecurity incident are taken"/>
    <x v="16"/>
    <s v="Incident Management (RS.MA)"/>
    <s v="Responses to detected cybersecurity incidents are managed"/>
    <s v="RS.MA-04"/>
    <s v="Incidents are escalated or elevated as needed"/>
    <s v="Ex2: Coordinate incident escalation or elevation with designated internal and external stakeholders"/>
    <s v="IR-04,IR-05,IR-06,IR-07"/>
    <x v="1"/>
    <m/>
    <m/>
    <m/>
    <s v="IR-04,IR-05,IR-06,IR-07"/>
    <m/>
    <n v="0"/>
    <n v="0"/>
    <m/>
    <m/>
    <s v="Not Started"/>
    <s v="No"/>
    <s v="No"/>
    <s v="No"/>
    <n v="0"/>
    <n v="0"/>
    <m/>
    <m/>
    <s v="Not Started"/>
    <s v="No"/>
    <s v="No"/>
    <s v="No"/>
    <n v="0"/>
    <n v="0"/>
    <m/>
    <m/>
    <s v="Not Started"/>
    <s v="No"/>
    <s v="No"/>
    <s v="No"/>
    <n v="0"/>
    <n v="0"/>
    <m/>
    <m/>
    <s v="Not Started"/>
    <s v="No"/>
    <s v="No"/>
    <s v="No"/>
    <m/>
    <m/>
    <n v="0"/>
    <m/>
    <m/>
  </r>
  <r>
    <s v="RS.MA-05 Ex1"/>
    <x v="3"/>
    <s v="Actions regarding a detected cybersecurity incident are taken"/>
    <x v="16"/>
    <s v="Incident Management (RS.MA)"/>
    <s v="Responses to detected cybersecurity incidents are managed"/>
    <s v="RS.MA-05"/>
    <s v="The criteria for initiating incident recovery are applied"/>
    <s v="Ex1: Apply incident recovery criteria to known and assumed characteristics of the incident to determine whether incident recovery processes should be initiated"/>
    <s v="IR-04,IR-08"/>
    <x v="1"/>
    <m/>
    <m/>
    <m/>
    <s v="IR-04,IR-08"/>
    <m/>
    <n v="0"/>
    <n v="0"/>
    <m/>
    <m/>
    <s v="Not Started"/>
    <s v="No"/>
    <s v="No"/>
    <s v="No"/>
    <n v="0"/>
    <n v="0"/>
    <m/>
    <m/>
    <s v="Not Started"/>
    <s v="No"/>
    <s v="No"/>
    <s v="No"/>
    <n v="0"/>
    <n v="0"/>
    <m/>
    <m/>
    <s v="Not Started"/>
    <s v="No"/>
    <s v="No"/>
    <s v="No"/>
    <n v="0"/>
    <n v="0"/>
    <m/>
    <m/>
    <s v="Not Started"/>
    <s v="No"/>
    <s v="No"/>
    <s v="No"/>
    <m/>
    <m/>
    <n v="0"/>
    <m/>
    <m/>
  </r>
  <r>
    <s v="RS.MA-05 Ex2"/>
    <x v="3"/>
    <s v="Actions regarding a detected cybersecurity incident are taken"/>
    <x v="16"/>
    <s v="Incident Management (RS.MA)"/>
    <s v="Responses to detected cybersecurity incidents are managed"/>
    <s v="RS.MA-05"/>
    <s v="The criteria for initiating incident recovery are applied"/>
    <s v="Ex2: Take the possible operational disruption of incident recovery activities into account"/>
    <s v="IR-04,IR-08"/>
    <x v="1"/>
    <m/>
    <m/>
    <m/>
    <s v="IR-04,IR-08"/>
    <m/>
    <n v="0"/>
    <n v="0"/>
    <m/>
    <m/>
    <s v="Not Started"/>
    <s v="No"/>
    <s v="No"/>
    <s v="No"/>
    <n v="0"/>
    <n v="0"/>
    <m/>
    <m/>
    <s v="Not Started"/>
    <s v="No"/>
    <s v="No"/>
    <s v="No"/>
    <n v="0"/>
    <n v="0"/>
    <m/>
    <m/>
    <s v="Not Started"/>
    <s v="No"/>
    <s v="No"/>
    <s v="No"/>
    <n v="0"/>
    <n v="0"/>
    <m/>
    <m/>
    <s v="Not Started"/>
    <s v="No"/>
    <s v="No"/>
    <s v="No"/>
    <m/>
    <m/>
    <n v="0"/>
    <m/>
    <m/>
  </r>
  <r>
    <s v="RS.MI-01 Ex2"/>
    <x v="3"/>
    <s v="Actions regarding a detected cybersecurity incident are taken"/>
    <x v="8"/>
    <s v="Incident Mitigation (RS.MI)"/>
    <s v="Activities are performed to prevent expansion of an event and mitigate its effects"/>
    <s v="RS.MI-01"/>
    <s v="Incidents are contained"/>
    <s v="Ex2: Allow incident responders to manually select and perform containment actions"/>
    <s v="IR-04"/>
    <x v="1"/>
    <m/>
    <m/>
    <m/>
    <s v="IR-04"/>
    <m/>
    <n v="0"/>
    <n v="0"/>
    <m/>
    <m/>
    <s v="Not Started"/>
    <s v="No"/>
    <s v="No"/>
    <s v="No"/>
    <n v="0"/>
    <n v="0"/>
    <m/>
    <m/>
    <s v="Not Started"/>
    <s v="No"/>
    <s v="No"/>
    <s v="No"/>
    <n v="0"/>
    <n v="0"/>
    <m/>
    <m/>
    <s v="Not Started"/>
    <s v="No"/>
    <s v="No"/>
    <s v="No"/>
    <n v="0"/>
    <n v="0"/>
    <m/>
    <m/>
    <s v="Not Started"/>
    <s v="No"/>
    <s v="No"/>
    <s v="No"/>
    <m/>
    <m/>
    <n v="0"/>
    <m/>
    <m/>
  </r>
  <r>
    <s v="RS.MI-01 Ex3"/>
    <x v="3"/>
    <s v="Actions regarding a detected cybersecurity incident are taken"/>
    <x v="8"/>
    <s v="Incident Mitigation (RS.MI)"/>
    <s v="Activities are performed to prevent expansion of an event and mitigate its effects"/>
    <s v="RS.MI-01"/>
    <s v="Incidents are contained"/>
    <s v="Ex3: Allow a third party (e.g., internet service provider, managed security service provider) to perform containment actions on behalf of the organization"/>
    <s v="IR-04"/>
    <x v="1"/>
    <m/>
    <m/>
    <m/>
    <s v="IR-04"/>
    <m/>
    <n v="0"/>
    <n v="0"/>
    <m/>
    <m/>
    <s v="Not Started"/>
    <s v="No"/>
    <s v="No"/>
    <s v="No"/>
    <n v="0"/>
    <n v="0"/>
    <m/>
    <m/>
    <s v="Not Started"/>
    <s v="No"/>
    <s v="No"/>
    <s v="No"/>
    <n v="0"/>
    <n v="0"/>
    <m/>
    <m/>
    <s v="Not Started"/>
    <s v="No"/>
    <s v="No"/>
    <s v="No"/>
    <n v="0"/>
    <n v="0"/>
    <m/>
    <m/>
    <s v="Not Started"/>
    <s v="No"/>
    <s v="No"/>
    <s v="No"/>
    <m/>
    <m/>
    <n v="0"/>
    <m/>
    <m/>
  </r>
  <r>
    <s v="RS.MI-01 Ex4"/>
    <x v="3"/>
    <s v="Actions regarding a detected cybersecurity incident are taken"/>
    <x v="8"/>
    <s v="Incident Mitigation (RS.MI)"/>
    <s v="Activities are performed to prevent expansion of an event and mitigate its effects"/>
    <s v="RS.MI-01"/>
    <s v="Incidents are contained"/>
    <s v="Ex4: Automatically transfer compromised endpoints to a remediation virtual local area network (VLAN)"/>
    <s v="IR-04"/>
    <x v="1"/>
    <m/>
    <m/>
    <m/>
    <s v="IR-04"/>
    <m/>
    <n v="0"/>
    <n v="0"/>
    <m/>
    <m/>
    <s v="Not Started"/>
    <s v="No"/>
    <s v="No"/>
    <s v="No"/>
    <n v="0"/>
    <n v="0"/>
    <m/>
    <m/>
    <s v="Not Started"/>
    <s v="No"/>
    <s v="No"/>
    <s v="No"/>
    <n v="0"/>
    <n v="0"/>
    <m/>
    <m/>
    <s v="Not Started"/>
    <s v="No"/>
    <s v="No"/>
    <s v="No"/>
    <n v="0"/>
    <n v="0"/>
    <m/>
    <m/>
    <s v="Not Started"/>
    <s v="No"/>
    <s v="No"/>
    <s v="No"/>
    <m/>
    <m/>
    <n v="0"/>
    <m/>
    <m/>
  </r>
  <r>
    <s v="RS.MI-02 Ex1"/>
    <x v="3"/>
    <s v="Actions regarding a detected cybersecurity incident are taken"/>
    <x v="8"/>
    <s v="Incident Mitigation (RS.MI)"/>
    <s v="Activities are performed to prevent expansion of an event and mitigate its effects"/>
    <s v="RS.MI-02"/>
    <s v="Incidents are eradicated"/>
    <s v="Ex1: Cybersecurity technologies and cybersecurity features of other technologies (e.g., operating systems, network infrastructure devices) automatically perform eradication actions"/>
    <s v="IR-04"/>
    <x v="1"/>
    <m/>
    <m/>
    <m/>
    <s v="IR-04"/>
    <m/>
    <n v="0"/>
    <n v="0"/>
    <m/>
    <m/>
    <s v="Not Started"/>
    <s v="No"/>
    <s v="No"/>
    <s v="No"/>
    <n v="0"/>
    <n v="0"/>
    <m/>
    <m/>
    <s v="Not Started"/>
    <s v="No"/>
    <s v="No"/>
    <s v="No"/>
    <n v="0"/>
    <n v="0"/>
    <m/>
    <m/>
    <s v="Not Started"/>
    <s v="No"/>
    <s v="No"/>
    <s v="No"/>
    <n v="0"/>
    <n v="0"/>
    <m/>
    <m/>
    <s v="Not Started"/>
    <s v="No"/>
    <s v="No"/>
    <s v="No"/>
    <m/>
    <m/>
    <n v="0"/>
    <m/>
    <m/>
  </r>
  <r>
    <s v="RS.MI-02 Ex3"/>
    <x v="3"/>
    <s v="Actions regarding a detected cybersecurity incident are taken"/>
    <x v="8"/>
    <s v="Incident Mitigation (RS.MI)"/>
    <s v="Activities are performed to prevent expansion of an event and mitigate its effects"/>
    <s v="RS.MI-02"/>
    <s v="Incidents are eradicated"/>
    <s v="Ex3: Allow a third party (e.g., managed security service provider) to perform eradication actions on behalf of the organization"/>
    <s v="IR-04"/>
    <x v="1"/>
    <m/>
    <m/>
    <m/>
    <s v="IR-04"/>
    <m/>
    <n v="0"/>
    <n v="0"/>
    <m/>
    <m/>
    <s v="Not Started"/>
    <s v="No"/>
    <s v="No"/>
    <s v="No"/>
    <n v="0"/>
    <n v="0"/>
    <m/>
    <m/>
    <s v="Not Started"/>
    <s v="No"/>
    <s v="No"/>
    <s v="No"/>
    <n v="0"/>
    <n v="0"/>
    <m/>
    <m/>
    <s v="Not Started"/>
    <s v="No"/>
    <s v="No"/>
    <s v="No"/>
    <n v="0"/>
    <n v="0"/>
    <m/>
    <m/>
    <s v="Not Started"/>
    <s v="No"/>
    <s v="No"/>
    <s v="No"/>
    <m/>
    <m/>
    <n v="0"/>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41C71D5-F969-DD43-9DE2-FFADBACF1036}" name="PivotTable2" cacheId="19"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
  <location ref="A3:C10" firstHeaderRow="0" firstDataRow="1" firstDataCol="1" rowPageCount="1" colPageCount="1"/>
  <pivotFields count="53">
    <pivotField showAll="0"/>
    <pivotField axis="axisRow" showAll="0">
      <items count="7">
        <item x="0"/>
        <item x="1"/>
        <item x="2"/>
        <item x="4"/>
        <item x="3"/>
        <item x="5"/>
        <item t="default"/>
      </items>
    </pivotField>
    <pivotField showAll="0"/>
    <pivotField showAll="0"/>
    <pivotField showAll="0"/>
    <pivotField showAll="0"/>
    <pivotField showAll="0"/>
    <pivotField showAll="0"/>
    <pivotField showAll="0"/>
    <pivotField showAll="0"/>
    <pivotField axis="axisPage" multipleItemSelectionAllowed="1" showAll="0">
      <items count="3">
        <item h="1"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7">
    <i>
      <x/>
    </i>
    <i>
      <x v="1"/>
    </i>
    <i>
      <x v="2"/>
    </i>
    <i>
      <x v="3"/>
    </i>
    <i>
      <x v="4"/>
    </i>
    <i>
      <x v="5"/>
    </i>
    <i t="grand">
      <x/>
    </i>
  </rowItems>
  <colFields count="1">
    <field x="-2"/>
  </colFields>
  <colItems count="2">
    <i>
      <x/>
    </i>
    <i i="1">
      <x v="1"/>
    </i>
  </colItems>
  <pageFields count="1">
    <pageField fld="10" hier="-1"/>
  </pageFields>
  <dataFields count="2">
    <dataField name="Average of Q2 Actual Score" fld="24" subtotal="average" baseField="0" baseItem="0"/>
    <dataField name="Average of Q3 Target Score" fld="33" subtotal="average" baseField="0" baseItem="0"/>
  </dataFields>
  <formats count="13">
    <format dxfId="34">
      <pivotArea outline="0" collapsedLevelsAreSubtotals="1" fieldPosition="0"/>
    </format>
    <format dxfId="33">
      <pivotArea type="all" dataOnly="0" outline="0" fieldPosition="0"/>
    </format>
    <format dxfId="32">
      <pivotArea outline="0" collapsedLevelsAreSubtotals="1" fieldPosition="0"/>
    </format>
    <format dxfId="31">
      <pivotArea field="1" type="button" dataOnly="0" labelOnly="1" outline="0" axis="axisRow" fieldPosition="0"/>
    </format>
    <format dxfId="30">
      <pivotArea dataOnly="0" labelOnly="1" fieldPosition="0">
        <references count="1">
          <reference field="1" count="0"/>
        </references>
      </pivotArea>
    </format>
    <format dxfId="29">
      <pivotArea dataOnly="0" labelOnly="1" grandRow="1" outline="0" fieldPosition="0"/>
    </format>
    <format dxfId="28">
      <pivotArea dataOnly="0" labelOnly="1" outline="0" fieldPosition="0">
        <references count="1">
          <reference field="4294967294" count="2">
            <x v="0"/>
            <x v="1"/>
          </reference>
        </references>
      </pivotArea>
    </format>
    <format dxfId="27">
      <pivotArea type="all" dataOnly="0" outline="0" fieldPosition="0"/>
    </format>
    <format dxfId="26">
      <pivotArea outline="0" collapsedLevelsAreSubtotals="1" fieldPosition="0"/>
    </format>
    <format dxfId="25">
      <pivotArea field="1" type="button" dataOnly="0" labelOnly="1" outline="0" axis="axisRow" fieldPosition="0"/>
    </format>
    <format dxfId="24">
      <pivotArea dataOnly="0" labelOnly="1" fieldPosition="0">
        <references count="1">
          <reference field="1" count="0"/>
        </references>
      </pivotArea>
    </format>
    <format dxfId="23">
      <pivotArea dataOnly="0" labelOnly="1" grandRow="1" outline="0" fieldPosition="0"/>
    </format>
    <format dxfId="22">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686255C-AB9C-BA40-BD52-9250D19B0C3C}" name="PivotTable2" cacheId="19"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1">
  <location ref="A3:C22" firstHeaderRow="0" firstDataRow="1" firstDataCol="1" rowPageCount="1" colPageCount="1"/>
  <pivotFields count="53">
    <pivotField showAll="0"/>
    <pivotField showAll="0">
      <items count="7">
        <item x="0"/>
        <item x="1"/>
        <item x="2"/>
        <item x="4"/>
        <item x="3"/>
        <item x="5"/>
        <item t="default"/>
      </items>
    </pivotField>
    <pivotField showAll="0"/>
    <pivotField axis="axisRow" showAll="0">
      <items count="23">
        <item x="1"/>
        <item x="3"/>
        <item x="18"/>
        <item x="4"/>
        <item x="2"/>
        <item x="0"/>
        <item x="14"/>
        <item x="15"/>
        <item x="5"/>
        <item x="17"/>
        <item x="6"/>
        <item x="11"/>
        <item x="7"/>
        <item x="12"/>
        <item x="19"/>
        <item x="10"/>
        <item x="9"/>
        <item x="20"/>
        <item x="21"/>
        <item x="16"/>
        <item x="8"/>
        <item x="13"/>
        <item t="default"/>
      </items>
    </pivotField>
    <pivotField showAll="0"/>
    <pivotField showAll="0"/>
    <pivotField showAll="0"/>
    <pivotField showAll="0"/>
    <pivotField showAll="0"/>
    <pivotField showAll="0"/>
    <pivotField axis="axisPage" multipleItemSelectionAllowed="1" showAll="0">
      <items count="3">
        <item h="1"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4" showAll="0"/>
    <pivotField showAll="0"/>
    <pivotField showAll="0"/>
  </pivotFields>
  <rowFields count="1">
    <field x="3"/>
  </rowFields>
  <rowItems count="19">
    <i>
      <x/>
    </i>
    <i>
      <x v="1"/>
    </i>
    <i>
      <x v="3"/>
    </i>
    <i>
      <x v="4"/>
    </i>
    <i>
      <x v="5"/>
    </i>
    <i>
      <x v="6"/>
    </i>
    <i>
      <x v="7"/>
    </i>
    <i>
      <x v="8"/>
    </i>
    <i>
      <x v="9"/>
    </i>
    <i>
      <x v="10"/>
    </i>
    <i>
      <x v="11"/>
    </i>
    <i>
      <x v="12"/>
    </i>
    <i>
      <x v="13"/>
    </i>
    <i>
      <x v="15"/>
    </i>
    <i>
      <x v="16"/>
    </i>
    <i>
      <x v="19"/>
    </i>
    <i>
      <x v="20"/>
    </i>
    <i>
      <x v="21"/>
    </i>
    <i t="grand">
      <x/>
    </i>
  </rowItems>
  <colFields count="1">
    <field x="-2"/>
  </colFields>
  <colItems count="2">
    <i>
      <x/>
    </i>
    <i i="1">
      <x v="1"/>
    </i>
  </colItems>
  <pageFields count="1">
    <pageField fld="10" hier="-1"/>
  </pageFields>
  <dataFields count="2">
    <dataField name="Average of Q2 Target Score" fld="25" subtotal="average" baseField="0" baseItem="0"/>
    <dataField name="Average of Q2 Actual Score" fld="24" subtotal="average" baseField="0" baseItem="0"/>
  </dataFields>
  <formats count="8">
    <format dxfId="21">
      <pivotArea outline="0" collapsedLevelsAreSubtotals="1" fieldPosition="0"/>
    </format>
    <format dxfId="20">
      <pivotArea outline="0" collapsedLevelsAreSubtotals="1" fieldPosition="0"/>
    </format>
    <format dxfId="19">
      <pivotArea outline="0" collapsedLevelsAreSubtotals="1" fieldPosition="0"/>
    </format>
    <format dxfId="18">
      <pivotArea field="1" type="button" dataOnly="0" labelOnly="1" outline="0"/>
    </format>
    <format dxfId="17">
      <pivotArea field="3" type="button" dataOnly="0" labelOnly="1" outline="0" axis="axisRow" fieldPosition="0"/>
    </format>
    <format dxfId="16">
      <pivotArea dataOnly="0" labelOnly="1" outline="0" fieldPosition="0">
        <references count="1">
          <reference field="4294967294" count="2">
            <x v="0"/>
            <x v="1"/>
          </reference>
        </references>
      </pivotArea>
    </format>
    <format dxfId="15">
      <pivotArea field="3" type="button" dataOnly="0" labelOnly="1" outline="0" axis="axisRow" fieldPosition="0"/>
    </format>
    <format dxfId="14">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61EAD72-7B98-F84E-A0EE-164820CC24FE}" name="PivotTable2" cacheId="19"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5">
  <location ref="A3:D28" firstHeaderRow="0" firstDataRow="1" firstDataCol="1" rowPageCount="1" colPageCount="1"/>
  <pivotFields count="53">
    <pivotField showAll="0"/>
    <pivotField axis="axisRow" showAll="0">
      <items count="7">
        <item x="0"/>
        <item x="1"/>
        <item x="2"/>
        <item x="4"/>
        <item x="3"/>
        <item x="5"/>
        <item t="default"/>
      </items>
    </pivotField>
    <pivotField showAll="0"/>
    <pivotField axis="axisRow" showAll="0">
      <items count="23">
        <item x="9"/>
        <item x="10"/>
        <item x="1"/>
        <item x="3"/>
        <item x="18"/>
        <item x="4"/>
        <item x="2"/>
        <item x="0"/>
        <item x="14"/>
        <item x="15"/>
        <item x="5"/>
        <item x="17"/>
        <item x="6"/>
        <item x="11"/>
        <item x="7"/>
        <item x="12"/>
        <item x="19"/>
        <item x="13"/>
        <item x="20"/>
        <item x="21"/>
        <item x="16"/>
        <item x="8"/>
        <item t="default"/>
      </items>
    </pivotField>
    <pivotField showAll="0"/>
    <pivotField showAll="0"/>
    <pivotField showAll="0"/>
    <pivotField showAll="0"/>
    <pivotField showAll="0"/>
    <pivotField showAll="0"/>
    <pivotField axis="axisPage" multipleItemSelectionAllowed="1" showAll="0">
      <items count="3">
        <item h="1" x="1"/>
        <item x="0"/>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4" showAll="0"/>
    <pivotField showAll="0"/>
    <pivotField showAll="0"/>
  </pivotFields>
  <rowFields count="2">
    <field x="1"/>
    <field x="3"/>
  </rowFields>
  <rowItems count="25">
    <i>
      <x/>
    </i>
    <i r="1">
      <x v="2"/>
    </i>
    <i r="1">
      <x v="3"/>
    </i>
    <i r="1">
      <x v="5"/>
    </i>
    <i r="1">
      <x v="6"/>
    </i>
    <i r="1">
      <x v="7"/>
    </i>
    <i>
      <x v="1"/>
    </i>
    <i r="1">
      <x v="8"/>
    </i>
    <i r="1">
      <x v="9"/>
    </i>
    <i r="1">
      <x v="10"/>
    </i>
    <i>
      <x v="2"/>
    </i>
    <i r="1">
      <x v="11"/>
    </i>
    <i r="1">
      <x v="12"/>
    </i>
    <i r="1">
      <x v="13"/>
    </i>
    <i r="1">
      <x v="14"/>
    </i>
    <i r="1">
      <x v="15"/>
    </i>
    <i>
      <x v="3"/>
    </i>
    <i r="1">
      <x/>
    </i>
    <i r="1">
      <x v="1"/>
    </i>
    <i>
      <x v="4"/>
    </i>
    <i r="1">
      <x v="20"/>
    </i>
    <i r="1">
      <x v="21"/>
    </i>
    <i>
      <x v="5"/>
    </i>
    <i r="1">
      <x v="17"/>
    </i>
    <i t="grand">
      <x/>
    </i>
  </rowItems>
  <colFields count="1">
    <field x="-2"/>
  </colFields>
  <colItems count="3">
    <i>
      <x/>
    </i>
    <i i="1">
      <x v="1"/>
    </i>
    <i i="2">
      <x v="2"/>
    </i>
  </colItems>
  <pageFields count="1">
    <pageField fld="10" hier="-1"/>
  </pageFields>
  <dataFields count="3">
    <dataField name="Gap to Target" fld="17" subtotal="average" baseField="0" baseItem="0"/>
    <dataField name="Actual" fld="24" subtotal="average" baseField="0" baseItem="0"/>
    <dataField name="Target" fld="25" subtotal="average" baseField="0" baseItem="0"/>
  </dataFields>
  <formats count="8">
    <format dxfId="13">
      <pivotArea outline="0" collapsedLevelsAreSubtotals="1" fieldPosition="0"/>
    </format>
    <format dxfId="12">
      <pivotArea outline="0" collapsedLevelsAreSubtotals="1" fieldPosition="0"/>
    </format>
    <format dxfId="11">
      <pivotArea outline="0" collapsedLevelsAreSubtotals="1" fieldPosition="0"/>
    </format>
    <format dxfId="10">
      <pivotArea field="1" type="button" dataOnly="0" labelOnly="1" outline="0" axis="axisRow" fieldPosition="0"/>
    </format>
    <format dxfId="9">
      <pivotArea field="3" type="button" dataOnly="0" labelOnly="1" outline="0" axis="axisRow" fieldPosition="1"/>
    </format>
    <format dxfId="8">
      <pivotArea dataOnly="0" labelOnly="1" outline="0" fieldPosition="0">
        <references count="1">
          <reference field="4294967294" count="2">
            <x v="1"/>
            <x v="2"/>
          </reference>
        </references>
      </pivotArea>
    </format>
    <format dxfId="7">
      <pivotArea field="3" type="button" dataOnly="0" labelOnly="1" outline="0" axis="axisRow" fieldPosition="1"/>
    </format>
    <format dxfId="6">
      <pivotArea dataOnly="0" labelOnly="1" outline="0" fieldPosition="0">
        <references count="1">
          <reference field="4294967294" count="2">
            <x v="1"/>
            <x v="2"/>
          </reference>
        </references>
      </pivotArea>
    </format>
  </formats>
  <chartFormats count="3">
    <chartFormat chart="11" format="0" series="1">
      <pivotArea type="data" outline="0" fieldPosition="0">
        <references count="1">
          <reference field="4294967294" count="1" selected="0">
            <x v="1"/>
          </reference>
        </references>
      </pivotArea>
    </chartFormat>
    <chartFormat chart="11" format="1" series="1">
      <pivotArea type="data" outline="0" fieldPosition="0">
        <references count="1">
          <reference field="4294967294" count="1" selected="0">
            <x v="2"/>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9916778-A08D-DF42-9FBA-52E5F6BEADCA}" name="tblIndex" displayName="tblIndex" ref="A28:B33" totalsRowShown="0" headerRowDxfId="0" dataDxfId="5">
  <autoFilter ref="A28:B33" xr:uid="{79D4FE47-D851-F14B-8134-4D296B994D6F}"/>
  <tableColumns count="2">
    <tableColumn id="2" xr3:uid="{99BAB2CE-A705-5F41-815C-34C0D9F9D14A}" name="Source" dataDxfId="4"/>
    <tableColumn id="3" xr3:uid="{4624ACC7-BA74-024B-98FC-0EECB50A6611}" name="Link" dataDxfId="3"/>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74A5F85-7D41-204B-8576-F6F7E2732E1A}" name="tbl_CSF_Profile" displayName="tbl_CSF_Profile" ref="A1:BA363" totalsRowShown="0">
  <autoFilter ref="A1:BA363" xr:uid="{D74A5F85-7D41-204B-8576-F6F7E2732E1A}"/>
  <tableColumns count="53">
    <tableColumn id="1" xr3:uid="{FCF48F49-25CB-5245-B67C-FF0496E0A030}" name="ID"/>
    <tableColumn id="2" xr3:uid="{7033790E-17E0-9E4C-8381-B6F7669CB576}" name="Function"/>
    <tableColumn id="3" xr3:uid="{AFD230A3-E1F8-4C4A-A54B-F372E84A656B}" name="Function Description"/>
    <tableColumn id="4" xr3:uid="{1EE25D75-2EC4-0642-A9BB-BDD49ECC8B60}" name="Category ID"/>
    <tableColumn id="5" xr3:uid="{73BEFB09-B34E-8242-B9B1-4A08BAA596EF}" name="Category"/>
    <tableColumn id="6" xr3:uid="{ADFE5D62-99C3-274D-A5D9-4D5E728255F5}" name="Category Description"/>
    <tableColumn id="7" xr3:uid="{AD767AA6-8A7A-634A-8990-70E9F33A70A4}" name="Subcategory ID"/>
    <tableColumn id="8" xr3:uid="{055614E5-1102-9247-910D-BA76CF6193EC}" name="Subcategory Description"/>
    <tableColumn id="9" xr3:uid="{C0A77106-4B48-4B40-8FAE-9EDC17982CBD}" name="Implementation Example"/>
    <tableColumn id="10" xr3:uid="{040DF107-AF3F-DB4C-96D5-D2E78579D9AE}" name="Implementation Description"/>
    <tableColumn id="11" xr3:uid="{4FA5874E-EB96-C34A-AD27-E09DBE66D643}" name="In Scope? "/>
    <tableColumn id="12" xr3:uid="{CFB8777F-0A47-7C4C-BC0E-5E820C408542}" name="Owner"/>
    <tableColumn id="13" xr3:uid="{77987B6E-8FF7-1844-81BD-F9AF7C4F0194}" name="Stakeholder(s)"/>
    <tableColumn id="14" xr3:uid="{F010857E-0844-9C4F-B17F-98C536C4AEE4}" name="Auditor"/>
    <tableColumn id="15" xr3:uid="{47CE9997-87EC-EA4B-A1E9-B9937BC36FDD}" name="NIST 800-53 Control Ref"/>
    <tableColumn id="16" xr3:uid="{D2F27D5F-B536-6047-8783-860145EA8473}" name="Test Procedure(s)"/>
    <tableColumn id="17" xr3:uid="{CD65DDAE-B7D8-8C43-B429-5560FAAB2A63}" name="Q1 Actual Score"/>
    <tableColumn id="18" xr3:uid="{B293A81B-2E10-814A-92F9-C3F6CC4539FC}" name="Q1 Target Score"/>
    <tableColumn id="19" xr3:uid="{05A521C2-6B23-2A4A-AAD5-145A85A7034F}" name="Q1 Observations"/>
    <tableColumn id="20" xr3:uid="{D614460B-6259-254B-8769-6C877D0B840E}" name="Q1 Observation Date"/>
    <tableColumn id="21" xr3:uid="{4CE771B7-714F-E744-B006-631C8E978F43}" name="Q1 Testing Status"/>
    <tableColumn id="22" xr3:uid="{4BA3051E-AAE5-394F-B2A1-646E0B86C500}" name="Q1 Examine"/>
    <tableColumn id="23" xr3:uid="{6618C4CF-52CA-4247-B52A-3B595C8C6AC1}" name="Q1 Interview"/>
    <tableColumn id="24" xr3:uid="{424945C7-56BB-4243-BE5E-05DB27B18A52}" name="Q1 Test"/>
    <tableColumn id="25" xr3:uid="{DB914BD2-FA74-0F4D-BEB6-8018F588E490}" name="Q2 Actual Score"/>
    <tableColumn id="26" xr3:uid="{A7708C88-9CA8-6348-BC55-97CE5FA546F9}" name="Q2 Target Score"/>
    <tableColumn id="27" xr3:uid="{DEDB2B34-E6F3-834D-9627-4354D263195D}" name="Q2 Observations"/>
    <tableColumn id="28" xr3:uid="{C8DB61AA-3130-E94B-9774-E7CB36235ED7}" name="Q2 Observation Date"/>
    <tableColumn id="29" xr3:uid="{B133D81E-C62E-A54A-AA69-583F600AE23E}" name="Q2 Testing Status"/>
    <tableColumn id="30" xr3:uid="{0B355439-4631-FE44-B392-C978B396C135}" name="Q2 Examine"/>
    <tableColumn id="31" xr3:uid="{5ABF3C48-AE85-3F42-AD2C-42E08CE20E01}" name="Q2 Interview"/>
    <tableColumn id="32" xr3:uid="{968225FD-5A2F-F240-A4D1-58C52534591D}" name="Q2 Test"/>
    <tableColumn id="33" xr3:uid="{0078B69C-2ACE-0C46-AB67-A35E2B0062FD}" name="Q3 Actual Score"/>
    <tableColumn id="34" xr3:uid="{62F44ADD-1ACC-634E-9B88-9DA3AEA9D43F}" name="Q3 Target Score"/>
    <tableColumn id="35" xr3:uid="{3867A802-5BF4-124A-8409-E7CE6E54B573}" name="Q3 Observations"/>
    <tableColumn id="36" xr3:uid="{293CF7FF-233B-3049-8B4B-977249962519}" name="Q3 Observation Date"/>
    <tableColumn id="37" xr3:uid="{3FE3B4B5-3FCC-824C-84C3-EC102A6F7BF9}" name="Q3 Testing Status"/>
    <tableColumn id="38" xr3:uid="{0A8627D1-95B3-C741-A65C-DF422103250E}" name="Q3 Examine"/>
    <tableColumn id="39" xr3:uid="{D3CBBDBA-1CB3-B040-986B-48934DBCAE12}" name="Q3 Interview"/>
    <tableColumn id="40" xr3:uid="{4BB253A5-582B-CC48-97E4-70AF3F554A53}" name="Q3 Test"/>
    <tableColumn id="41" xr3:uid="{F733305E-95B3-154B-9C67-6A085BB3B365}" name="Q4 Actual Score"/>
    <tableColumn id="42" xr3:uid="{947636AD-1204-8349-BB8E-4A466DB5AF5D}" name="Q4 Target Score"/>
    <tableColumn id="43" xr3:uid="{3F477B33-B727-A540-885B-1FBD696A8A0C}" name="Q4 Observations"/>
    <tableColumn id="44" xr3:uid="{9E9BB8E5-DEAF-3440-B0E3-E44DAD64AC74}" name="Q4 Observation Date"/>
    <tableColumn id="45" xr3:uid="{91FC7356-4A4F-E742-B62B-58097C3B3FEE}" name="Q4 Testing Status"/>
    <tableColumn id="46" xr3:uid="{987626C0-3A05-FE40-A7E4-EF9F6D737CBE}" name="Q4 Examine"/>
    <tableColumn id="47" xr3:uid="{DAADD455-04E5-E64A-A51F-16AD1A661324}" name="Q4 Interview"/>
    <tableColumn id="48" xr3:uid="{6B477698-818A-7949-85C1-F8844F30D8AB}" name="Q4 Test"/>
    <tableColumn id="49" xr3:uid="{49721F2F-88E2-964C-95A4-8A8C9092DCC9}" name="Remediation Owner"/>
    <tableColumn id="50" xr3:uid="{314DA590-2D11-DE4D-8968-E60A1FCD5479}" name="Remediation Due Date"/>
    <tableColumn id="51" xr3:uid="{4CAAB745-19C6-3C43-98A0-389B49E9223F}" name="Minimum Target"/>
    <tableColumn id="52" xr3:uid="{3275BE60-DB93-3246-8DE6-7F340B2E62CC}" name="Action Plan"/>
    <tableColumn id="53" xr3:uid="{E9DC3DFA-4083-0340-AB1F-FBBA34E60A2C}" name="Artifact Nam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csrc.nist.gov/projects/olir/informative-reference-catalog" TargetMode="External"/><Relationship Id="rId7" Type="http://schemas.openxmlformats.org/officeDocument/2006/relationships/table" Target="../tables/table1.xml"/><Relationship Id="rId2" Type="http://schemas.openxmlformats.org/officeDocument/2006/relationships/hyperlink" Target="https://www.nist.gov/cyberframework/profiles" TargetMode="External"/><Relationship Id="rId1" Type="http://schemas.openxmlformats.org/officeDocument/2006/relationships/hyperlink" Target="https://www.nist.gov/cyberframework/informative-references" TargetMode="External"/><Relationship Id="rId6" Type="http://schemas.openxmlformats.org/officeDocument/2006/relationships/drawing" Target="../drawings/drawing1.xml"/><Relationship Id="rId5" Type="http://schemas.openxmlformats.org/officeDocument/2006/relationships/hyperlink" Target="https://www.akylade.com/mastering-cyber-resilience" TargetMode="External"/><Relationship Id="rId4" Type="http://schemas.openxmlformats.org/officeDocument/2006/relationships/hyperlink" Target="https://github.com/danielmiessler/Telos/blob/main/corporate_telos.md" TargetMode="Externa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C5D4FC-C6F6-404F-A10D-E1D73C4A9ED7}">
  <sheetPr>
    <tabColor theme="1"/>
  </sheetPr>
  <dimension ref="A1:W219"/>
  <sheetViews>
    <sheetView tabSelected="1" workbookViewId="0">
      <selection activeCell="D31" sqref="D31"/>
    </sheetView>
  </sheetViews>
  <sheetFormatPr baseColWidth="10" defaultRowHeight="15" x14ac:dyDescent="0.2"/>
  <cols>
    <col min="1" max="1" width="29.33203125" style="17" customWidth="1"/>
    <col min="2" max="2" width="38.1640625" style="17" customWidth="1"/>
    <col min="3" max="3" width="39.33203125" style="17" customWidth="1"/>
    <col min="4" max="6" width="10.83203125" style="18"/>
    <col min="7" max="7" width="10.83203125" style="18" customWidth="1"/>
    <col min="8" max="23" width="10.83203125" style="18"/>
    <col min="24" max="16384" width="10.83203125" style="17"/>
  </cols>
  <sheetData>
    <row r="1" spans="2:2" s="18" customFormat="1" x14ac:dyDescent="0.2"/>
    <row r="2" spans="2:2" s="18" customFormat="1" x14ac:dyDescent="0.2"/>
    <row r="3" spans="2:2" s="18" customFormat="1" x14ac:dyDescent="0.2"/>
    <row r="4" spans="2:2" s="18" customFormat="1" x14ac:dyDescent="0.2"/>
    <row r="5" spans="2:2" s="18" customFormat="1" x14ac:dyDescent="0.2"/>
    <row r="6" spans="2:2" s="18" customFormat="1" x14ac:dyDescent="0.2"/>
    <row r="7" spans="2:2" s="18" customFormat="1" ht="24" x14ac:dyDescent="0.3">
      <c r="B7" s="24"/>
    </row>
    <row r="8" spans="2:2" s="18" customFormat="1" x14ac:dyDescent="0.2"/>
    <row r="9" spans="2:2" s="18" customFormat="1" x14ac:dyDescent="0.2"/>
    <row r="10" spans="2:2" s="18" customFormat="1" x14ac:dyDescent="0.2"/>
    <row r="11" spans="2:2" s="18" customFormat="1" x14ac:dyDescent="0.2"/>
    <row r="12" spans="2:2" s="18" customFormat="1" x14ac:dyDescent="0.2"/>
    <row r="13" spans="2:2" s="18" customFormat="1" x14ac:dyDescent="0.2"/>
    <row r="14" spans="2:2" s="18" customFormat="1" x14ac:dyDescent="0.2"/>
    <row r="15" spans="2:2" s="18" customFormat="1" x14ac:dyDescent="0.2"/>
    <row r="16" spans="2:2" s="18" customFormat="1" x14ac:dyDescent="0.2"/>
    <row r="17" spans="1:23" s="18" customFormat="1" x14ac:dyDescent="0.2"/>
    <row r="18" spans="1:23" s="18" customFormat="1" x14ac:dyDescent="0.2"/>
    <row r="19" spans="1:23" s="18" customFormat="1" x14ac:dyDescent="0.2"/>
    <row r="20" spans="1:23" s="18" customFormat="1" x14ac:dyDescent="0.2"/>
    <row r="21" spans="1:23" s="18" customFormat="1" x14ac:dyDescent="0.2"/>
    <row r="22" spans="1:23" s="18" customFormat="1" x14ac:dyDescent="0.2"/>
    <row r="23" spans="1:23" s="18" customFormat="1" x14ac:dyDescent="0.2"/>
    <row r="24" spans="1:23" s="18" customFormat="1" x14ac:dyDescent="0.2"/>
    <row r="25" spans="1:23" s="18" customFormat="1" x14ac:dyDescent="0.2"/>
    <row r="26" spans="1:23" s="18" customFormat="1" x14ac:dyDescent="0.2"/>
    <row r="27" spans="1:23" s="18" customFormat="1" x14ac:dyDescent="0.2">
      <c r="A27" s="25" t="s">
        <v>1359</v>
      </c>
    </row>
    <row r="28" spans="1:23" ht="16" x14ac:dyDescent="0.2">
      <c r="A28" s="28" t="s">
        <v>1361</v>
      </c>
      <c r="B28" s="28" t="s">
        <v>1362</v>
      </c>
      <c r="C28" s="18"/>
      <c r="W28" s="17"/>
    </row>
    <row r="29" spans="1:23" ht="35" customHeight="1" x14ac:dyDescent="0.2">
      <c r="A29" s="26" t="s">
        <v>1360</v>
      </c>
      <c r="B29" s="27" t="s">
        <v>1354</v>
      </c>
      <c r="C29" s="18"/>
      <c r="W29" s="17"/>
    </row>
    <row r="30" spans="1:23" ht="32" x14ac:dyDescent="0.2">
      <c r="A30" s="26" t="s">
        <v>1355</v>
      </c>
      <c r="B30" s="27" t="s">
        <v>1356</v>
      </c>
      <c r="C30" s="18"/>
      <c r="W30" s="17"/>
    </row>
    <row r="31" spans="1:23" ht="32" x14ac:dyDescent="0.2">
      <c r="A31" s="26" t="s">
        <v>1357</v>
      </c>
      <c r="B31" s="27" t="s">
        <v>1358</v>
      </c>
      <c r="C31" s="18"/>
      <c r="W31" s="17"/>
    </row>
    <row r="32" spans="1:23" ht="34" x14ac:dyDescent="0.2">
      <c r="A32" s="29" t="s">
        <v>1364</v>
      </c>
      <c r="B32" s="30" t="s">
        <v>1363</v>
      </c>
      <c r="C32" s="18"/>
    </row>
    <row r="33" spans="1:2" s="18" customFormat="1" ht="34" x14ac:dyDescent="0.2">
      <c r="A33" s="29" t="s">
        <v>1365</v>
      </c>
      <c r="B33" s="30" t="s">
        <v>1366</v>
      </c>
    </row>
    <row r="34" spans="1:2" s="18" customFormat="1" x14ac:dyDescent="0.2"/>
    <row r="35" spans="1:2" s="18" customFormat="1" x14ac:dyDescent="0.2"/>
    <row r="36" spans="1:2" s="18" customFormat="1" x14ac:dyDescent="0.2"/>
    <row r="37" spans="1:2" s="18" customFormat="1" x14ac:dyDescent="0.2"/>
    <row r="38" spans="1:2" s="18" customFormat="1" x14ac:dyDescent="0.2"/>
    <row r="39" spans="1:2" s="18" customFormat="1" x14ac:dyDescent="0.2"/>
    <row r="40" spans="1:2" s="18" customFormat="1" x14ac:dyDescent="0.2"/>
    <row r="41" spans="1:2" s="18" customFormat="1" x14ac:dyDescent="0.2"/>
    <row r="42" spans="1:2" s="18" customFormat="1" x14ac:dyDescent="0.2"/>
    <row r="43" spans="1:2" s="18" customFormat="1" x14ac:dyDescent="0.2"/>
    <row r="44" spans="1:2" s="18" customFormat="1" x14ac:dyDescent="0.2"/>
    <row r="45" spans="1:2" s="18" customFormat="1" x14ac:dyDescent="0.2"/>
    <row r="46" spans="1:2" s="18" customFormat="1" x14ac:dyDescent="0.2"/>
    <row r="47" spans="1:2" s="18" customFormat="1" x14ac:dyDescent="0.2"/>
    <row r="48" spans="1:2" s="18" customFormat="1" x14ac:dyDescent="0.2"/>
    <row r="49" s="18" customFormat="1" x14ac:dyDescent="0.2"/>
    <row r="50" s="18" customFormat="1" x14ac:dyDescent="0.2"/>
    <row r="51" s="18" customFormat="1" x14ac:dyDescent="0.2"/>
    <row r="52" s="18" customFormat="1" x14ac:dyDescent="0.2"/>
    <row r="53" s="18" customFormat="1" x14ac:dyDescent="0.2"/>
    <row r="54" s="18" customFormat="1" x14ac:dyDescent="0.2"/>
    <row r="55" s="18" customFormat="1" x14ac:dyDescent="0.2"/>
    <row r="56" s="18" customFormat="1" x14ac:dyDescent="0.2"/>
    <row r="57" s="18" customFormat="1" x14ac:dyDescent="0.2"/>
    <row r="58" s="18" customFormat="1" x14ac:dyDescent="0.2"/>
    <row r="59" s="18" customFormat="1" x14ac:dyDescent="0.2"/>
    <row r="60" s="18" customFormat="1" x14ac:dyDescent="0.2"/>
    <row r="61" s="18" customFormat="1" x14ac:dyDescent="0.2"/>
    <row r="62" s="18" customFormat="1" x14ac:dyDescent="0.2"/>
    <row r="63" s="18" customFormat="1" x14ac:dyDescent="0.2"/>
    <row r="64" s="18" customFormat="1" x14ac:dyDescent="0.2"/>
    <row r="65" s="18" customFormat="1" x14ac:dyDescent="0.2"/>
    <row r="66" s="18" customFormat="1" x14ac:dyDescent="0.2"/>
    <row r="67" s="18" customFormat="1" x14ac:dyDescent="0.2"/>
    <row r="68" s="18" customFormat="1" x14ac:dyDescent="0.2"/>
    <row r="69" s="18" customFormat="1" x14ac:dyDescent="0.2"/>
    <row r="70" s="18" customFormat="1" x14ac:dyDescent="0.2"/>
    <row r="71" s="18" customFormat="1" x14ac:dyDescent="0.2"/>
    <row r="72" s="18" customFormat="1" x14ac:dyDescent="0.2"/>
    <row r="73" s="18" customFormat="1" x14ac:dyDescent="0.2"/>
    <row r="74" s="18" customFormat="1" x14ac:dyDescent="0.2"/>
    <row r="75" s="18" customFormat="1" x14ac:dyDescent="0.2"/>
    <row r="76" s="18" customFormat="1" x14ac:dyDescent="0.2"/>
    <row r="77" s="18" customFormat="1" x14ac:dyDescent="0.2"/>
    <row r="78" s="18" customFormat="1" x14ac:dyDescent="0.2"/>
    <row r="79" s="18" customFormat="1" x14ac:dyDescent="0.2"/>
    <row r="80" s="18" customFormat="1" x14ac:dyDescent="0.2"/>
    <row r="81" s="18" customFormat="1" x14ac:dyDescent="0.2"/>
    <row r="82" s="18" customFormat="1" x14ac:dyDescent="0.2"/>
    <row r="83" s="18" customFormat="1" x14ac:dyDescent="0.2"/>
    <row r="84" s="18" customFormat="1" x14ac:dyDescent="0.2"/>
    <row r="85" s="18" customFormat="1" x14ac:dyDescent="0.2"/>
    <row r="86" s="18" customFormat="1" x14ac:dyDescent="0.2"/>
    <row r="87" s="18" customFormat="1" x14ac:dyDescent="0.2"/>
    <row r="88" s="18" customFormat="1" x14ac:dyDescent="0.2"/>
    <row r="89" s="18" customFormat="1" x14ac:dyDescent="0.2"/>
    <row r="90" s="18" customFormat="1" x14ac:dyDescent="0.2"/>
    <row r="91" s="18" customFormat="1" x14ac:dyDescent="0.2"/>
    <row r="92" s="18" customFormat="1" x14ac:dyDescent="0.2"/>
    <row r="93" s="18" customFormat="1" x14ac:dyDescent="0.2"/>
    <row r="94" s="18" customFormat="1" x14ac:dyDescent="0.2"/>
    <row r="95" s="18" customFormat="1" x14ac:dyDescent="0.2"/>
    <row r="96" s="18" customFormat="1" x14ac:dyDescent="0.2"/>
    <row r="97" s="18" customFormat="1" x14ac:dyDescent="0.2"/>
    <row r="98" s="18" customFormat="1" x14ac:dyDescent="0.2"/>
    <row r="99" s="18" customFormat="1" x14ac:dyDescent="0.2"/>
    <row r="100" s="18" customFormat="1" x14ac:dyDescent="0.2"/>
    <row r="101" s="18" customFormat="1" x14ac:dyDescent="0.2"/>
    <row r="102" s="18" customFormat="1" x14ac:dyDescent="0.2"/>
    <row r="103" s="18" customFormat="1" x14ac:dyDescent="0.2"/>
    <row r="104" s="18" customFormat="1" x14ac:dyDescent="0.2"/>
    <row r="105" s="18" customFormat="1" x14ac:dyDescent="0.2"/>
    <row r="106" s="18" customFormat="1" x14ac:dyDescent="0.2"/>
    <row r="107" s="18" customFormat="1" x14ac:dyDescent="0.2"/>
    <row r="108" s="18" customFormat="1" x14ac:dyDescent="0.2"/>
    <row r="109" s="18" customFormat="1" x14ac:dyDescent="0.2"/>
    <row r="110" s="18" customFormat="1" x14ac:dyDescent="0.2"/>
    <row r="111" s="18" customFormat="1" x14ac:dyDescent="0.2"/>
    <row r="112" s="18" customFormat="1" x14ac:dyDescent="0.2"/>
    <row r="113" s="18" customFormat="1" x14ac:dyDescent="0.2"/>
    <row r="114" s="18" customFormat="1" x14ac:dyDescent="0.2"/>
    <row r="115" s="18" customFormat="1" x14ac:dyDescent="0.2"/>
    <row r="116" s="18" customFormat="1" x14ac:dyDescent="0.2"/>
    <row r="117" s="18" customFormat="1" x14ac:dyDescent="0.2"/>
    <row r="118" s="18" customFormat="1" x14ac:dyDescent="0.2"/>
    <row r="119" s="18" customFormat="1" x14ac:dyDescent="0.2"/>
    <row r="120" s="18" customFormat="1" x14ac:dyDescent="0.2"/>
    <row r="121" s="18" customFormat="1" x14ac:dyDescent="0.2"/>
    <row r="122" s="18" customFormat="1" x14ac:dyDescent="0.2"/>
    <row r="123" s="18" customFormat="1" x14ac:dyDescent="0.2"/>
    <row r="124" s="18" customFormat="1" x14ac:dyDescent="0.2"/>
    <row r="125" s="18" customFormat="1" x14ac:dyDescent="0.2"/>
    <row r="126" s="18" customFormat="1" x14ac:dyDescent="0.2"/>
    <row r="127" s="18" customFormat="1" x14ac:dyDescent="0.2"/>
    <row r="128" s="18" customFormat="1" x14ac:dyDescent="0.2"/>
    <row r="129" s="18" customFormat="1" x14ac:dyDescent="0.2"/>
    <row r="130" s="18" customFormat="1" x14ac:dyDescent="0.2"/>
    <row r="131" s="18" customFormat="1" x14ac:dyDescent="0.2"/>
    <row r="132" s="18" customFormat="1" x14ac:dyDescent="0.2"/>
    <row r="133" s="18" customFormat="1" x14ac:dyDescent="0.2"/>
    <row r="134" s="18" customFormat="1" x14ac:dyDescent="0.2"/>
    <row r="135" s="18" customFormat="1" x14ac:dyDescent="0.2"/>
    <row r="136" s="18" customFormat="1" x14ac:dyDescent="0.2"/>
    <row r="137" s="18" customFormat="1" x14ac:dyDescent="0.2"/>
    <row r="138" s="18" customFormat="1" x14ac:dyDescent="0.2"/>
    <row r="139" s="18" customFormat="1" x14ac:dyDescent="0.2"/>
    <row r="140" s="18" customFormat="1" x14ac:dyDescent="0.2"/>
    <row r="141" s="18" customFormat="1" x14ac:dyDescent="0.2"/>
    <row r="142" s="18" customFormat="1" x14ac:dyDescent="0.2"/>
    <row r="143" s="18" customFormat="1" x14ac:dyDescent="0.2"/>
    <row r="144" s="18" customFormat="1" x14ac:dyDescent="0.2"/>
    <row r="145" s="18" customFormat="1" x14ac:dyDescent="0.2"/>
    <row r="146" s="18" customFormat="1" x14ac:dyDescent="0.2"/>
    <row r="147" s="18" customFormat="1" x14ac:dyDescent="0.2"/>
    <row r="148" s="18" customFormat="1" x14ac:dyDescent="0.2"/>
    <row r="149" s="18" customFormat="1" x14ac:dyDescent="0.2"/>
    <row r="150" s="18" customFormat="1" x14ac:dyDescent="0.2"/>
    <row r="151" s="18" customFormat="1" x14ac:dyDescent="0.2"/>
    <row r="152" s="18" customFormat="1" x14ac:dyDescent="0.2"/>
    <row r="153" s="18" customFormat="1" x14ac:dyDescent="0.2"/>
    <row r="154" s="18" customFormat="1" x14ac:dyDescent="0.2"/>
    <row r="155" s="18" customFormat="1" x14ac:dyDescent="0.2"/>
    <row r="156" s="18" customFormat="1" x14ac:dyDescent="0.2"/>
    <row r="157" s="18" customFormat="1" x14ac:dyDescent="0.2"/>
    <row r="158" s="18" customFormat="1" x14ac:dyDescent="0.2"/>
    <row r="159" s="18" customFormat="1" x14ac:dyDescent="0.2"/>
    <row r="160" s="18" customFormat="1" x14ac:dyDescent="0.2"/>
    <row r="161" s="18" customFormat="1" x14ac:dyDescent="0.2"/>
    <row r="162" s="18" customFormat="1" x14ac:dyDescent="0.2"/>
    <row r="163" s="18" customFormat="1" x14ac:dyDescent="0.2"/>
    <row r="164" s="18" customFormat="1" x14ac:dyDescent="0.2"/>
    <row r="165" s="18" customFormat="1" x14ac:dyDescent="0.2"/>
    <row r="166" s="18" customFormat="1" x14ac:dyDescent="0.2"/>
    <row r="167" s="18" customFormat="1" x14ac:dyDescent="0.2"/>
    <row r="168" s="18" customFormat="1" x14ac:dyDescent="0.2"/>
    <row r="169" s="18" customFormat="1" x14ac:dyDescent="0.2"/>
    <row r="170" s="18" customFormat="1" x14ac:dyDescent="0.2"/>
    <row r="171" s="18" customFormat="1" x14ac:dyDescent="0.2"/>
    <row r="172" s="18" customFormat="1" x14ac:dyDescent="0.2"/>
    <row r="173" s="18" customFormat="1" x14ac:dyDescent="0.2"/>
    <row r="174" s="18" customFormat="1" x14ac:dyDescent="0.2"/>
    <row r="175" s="18" customFormat="1" x14ac:dyDescent="0.2"/>
    <row r="176" s="18" customFormat="1" x14ac:dyDescent="0.2"/>
    <row r="177" s="18" customFormat="1" x14ac:dyDescent="0.2"/>
    <row r="178" s="18" customFormat="1" x14ac:dyDescent="0.2"/>
    <row r="179" s="18" customFormat="1" x14ac:dyDescent="0.2"/>
    <row r="180" s="18" customFormat="1" x14ac:dyDescent="0.2"/>
    <row r="181" s="18" customFormat="1" x14ac:dyDescent="0.2"/>
    <row r="182" s="18" customFormat="1" x14ac:dyDescent="0.2"/>
    <row r="183" s="18" customFormat="1" x14ac:dyDescent="0.2"/>
    <row r="184" s="18" customFormat="1" x14ac:dyDescent="0.2"/>
    <row r="185" s="18" customFormat="1" x14ac:dyDescent="0.2"/>
    <row r="186" s="18" customFormat="1" x14ac:dyDescent="0.2"/>
    <row r="187" s="18" customFormat="1" x14ac:dyDescent="0.2"/>
    <row r="188" s="18" customFormat="1" x14ac:dyDescent="0.2"/>
    <row r="189" s="18" customFormat="1" x14ac:dyDescent="0.2"/>
    <row r="190" s="18" customFormat="1" x14ac:dyDescent="0.2"/>
    <row r="191" s="18" customFormat="1" x14ac:dyDescent="0.2"/>
    <row r="192" s="18" customFormat="1" x14ac:dyDescent="0.2"/>
    <row r="193" s="18" customFormat="1" x14ac:dyDescent="0.2"/>
    <row r="194" s="18" customFormat="1" x14ac:dyDescent="0.2"/>
    <row r="195" s="18" customFormat="1" x14ac:dyDescent="0.2"/>
    <row r="196" s="18" customFormat="1" x14ac:dyDescent="0.2"/>
    <row r="197" s="18" customFormat="1" x14ac:dyDescent="0.2"/>
    <row r="198" s="18" customFormat="1" x14ac:dyDescent="0.2"/>
    <row r="199" s="18" customFormat="1" x14ac:dyDescent="0.2"/>
    <row r="200" s="18" customFormat="1" x14ac:dyDescent="0.2"/>
    <row r="201" s="18" customFormat="1" x14ac:dyDescent="0.2"/>
    <row r="202" s="18" customFormat="1" x14ac:dyDescent="0.2"/>
    <row r="203" s="18" customFormat="1" x14ac:dyDescent="0.2"/>
    <row r="204" s="18" customFormat="1" x14ac:dyDescent="0.2"/>
    <row r="205" s="18" customFormat="1" x14ac:dyDescent="0.2"/>
    <row r="206" s="18" customFormat="1" x14ac:dyDescent="0.2"/>
    <row r="207" s="18" customFormat="1" x14ac:dyDescent="0.2"/>
    <row r="208" s="18" customFormat="1" x14ac:dyDescent="0.2"/>
    <row r="209" spans="1:3" s="18" customFormat="1" x14ac:dyDescent="0.2"/>
    <row r="210" spans="1:3" s="18" customFormat="1" x14ac:dyDescent="0.2"/>
    <row r="211" spans="1:3" s="18" customFormat="1" x14ac:dyDescent="0.2"/>
    <row r="212" spans="1:3" s="18" customFormat="1" x14ac:dyDescent="0.2"/>
    <row r="213" spans="1:3" s="18" customFormat="1" x14ac:dyDescent="0.2"/>
    <row r="214" spans="1:3" s="18" customFormat="1" x14ac:dyDescent="0.2"/>
    <row r="215" spans="1:3" s="18" customFormat="1" x14ac:dyDescent="0.2"/>
    <row r="216" spans="1:3" s="18" customFormat="1" x14ac:dyDescent="0.2"/>
    <row r="217" spans="1:3" s="18" customFormat="1" x14ac:dyDescent="0.2"/>
    <row r="218" spans="1:3" s="18" customFormat="1" x14ac:dyDescent="0.2"/>
    <row r="219" spans="1:3" s="18" customFormat="1" x14ac:dyDescent="0.2">
      <c r="A219" s="17"/>
      <c r="B219" s="17"/>
      <c r="C219" s="17"/>
    </row>
  </sheetData>
  <hyperlinks>
    <hyperlink ref="B29" r:id="rId1" xr:uid="{6460CB5E-0019-2B48-83C9-A279C326ADB1}"/>
    <hyperlink ref="B30" r:id="rId2" xr:uid="{A4302885-B464-7E48-B0B7-0EF38513D9CA}"/>
    <hyperlink ref="B31" r:id="rId3" location="/ " xr:uid="{B660376C-1A15-EA43-A40F-BB1969F7BA12}"/>
    <hyperlink ref="B32" r:id="rId4" xr:uid="{52601C52-E926-704C-B371-DDDCE7D538D3}"/>
    <hyperlink ref="B33" r:id="rId5" xr:uid="{33299DCB-A8A4-0A4B-AD01-8E03DF1B5ADF}"/>
  </hyperlinks>
  <pageMargins left="0.7" right="0.7" top="0.75" bottom="0.75" header="0.3" footer="0.3"/>
  <drawing r:id="rId6"/>
  <tableParts count="1">
    <tablePart r:id="rId7"/>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D29922-8166-8B49-94F6-28BB83F7F5E6}">
  <sheetPr codeName="Sheet1">
    <tabColor theme="7" tint="-0.499984740745262"/>
  </sheetPr>
  <dimension ref="A1:BA363"/>
  <sheetViews>
    <sheetView topLeftCell="AL1" workbookViewId="0">
      <pane ySplit="1" topLeftCell="A301" activePane="bottomLeft" state="frozen"/>
      <selection pane="bottomLeft" activeCell="D6" sqref="D6"/>
    </sheetView>
  </sheetViews>
  <sheetFormatPr baseColWidth="10" defaultRowHeight="16" x14ac:dyDescent="0.2"/>
  <cols>
    <col min="3" max="3" width="20.6640625" customWidth="1"/>
    <col min="4" max="4" width="13.1640625" customWidth="1"/>
    <col min="5" max="5" width="11" customWidth="1"/>
    <col min="6" max="6" width="21" customWidth="1"/>
    <col min="7" max="7" width="15.83203125" customWidth="1"/>
    <col min="8" max="8" width="23.6640625" customWidth="1"/>
    <col min="9" max="9" width="24" customWidth="1"/>
    <col min="10" max="10" width="26.6640625" customWidth="1"/>
    <col min="11" max="11" width="11.6640625" customWidth="1"/>
    <col min="13" max="13" width="15.6640625" customWidth="1"/>
    <col min="15" max="15" width="22.83203125" customWidth="1"/>
    <col min="16" max="16" width="18.1640625" customWidth="1"/>
    <col min="17" max="17" width="16.5" customWidth="1"/>
    <col min="18" max="18" width="16.33203125" customWidth="1"/>
    <col min="19" max="19" width="17.1640625" customWidth="1"/>
    <col min="20" max="20" width="20.5" customWidth="1"/>
    <col min="21" max="21" width="17.83203125" customWidth="1"/>
    <col min="22" max="22" width="13.1640625" customWidth="1"/>
    <col min="23" max="23" width="13.6640625" customWidth="1"/>
    <col min="25" max="25" width="16.5" customWidth="1"/>
    <col min="26" max="26" width="16.33203125" customWidth="1"/>
    <col min="27" max="27" width="17.1640625" customWidth="1"/>
    <col min="28" max="28" width="20.5" customWidth="1"/>
    <col min="29" max="29" width="17.83203125" customWidth="1"/>
    <col min="30" max="30" width="13.1640625" customWidth="1"/>
    <col min="31" max="31" width="13.6640625" customWidth="1"/>
    <col min="33" max="33" width="16.5" customWidth="1"/>
    <col min="34" max="34" width="16.33203125" customWidth="1"/>
    <col min="35" max="35" width="17.1640625" customWidth="1"/>
    <col min="36" max="36" width="20.5" customWidth="1"/>
    <col min="37" max="37" width="17.83203125" customWidth="1"/>
    <col min="38" max="38" width="13.1640625" customWidth="1"/>
    <col min="39" max="39" width="13.6640625" customWidth="1"/>
    <col min="41" max="41" width="16.5" customWidth="1"/>
    <col min="42" max="42" width="16.33203125" customWidth="1"/>
    <col min="43" max="43" width="17.1640625" customWidth="1"/>
    <col min="44" max="44" width="20.5" customWidth="1"/>
    <col min="45" max="45" width="17.83203125" customWidth="1"/>
    <col min="46" max="46" width="13.1640625" customWidth="1"/>
    <col min="47" max="47" width="13.6640625" customWidth="1"/>
    <col min="49" max="49" width="19.6640625" customWidth="1"/>
    <col min="50" max="50" width="22" customWidth="1"/>
    <col min="51" max="51" width="16.83203125" customWidth="1"/>
    <col min="52" max="52" width="12.83203125" customWidth="1"/>
    <col min="53" max="53" width="15.1640625" customWidth="1"/>
  </cols>
  <sheetData>
    <row r="1" spans="1:53"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row>
    <row r="2" spans="1:53" x14ac:dyDescent="0.2">
      <c r="A2" t="s">
        <v>53</v>
      </c>
      <c r="B2" t="s">
        <v>54</v>
      </c>
      <c r="C2" t="s">
        <v>55</v>
      </c>
      <c r="D2" t="s">
        <v>56</v>
      </c>
      <c r="E2" t="s">
        <v>57</v>
      </c>
      <c r="F2" t="s">
        <v>58</v>
      </c>
      <c r="G2" t="s">
        <v>59</v>
      </c>
      <c r="H2" t="s">
        <v>60</v>
      </c>
      <c r="I2" t="s">
        <v>61</v>
      </c>
      <c r="J2" s="1" t="s">
        <v>62</v>
      </c>
      <c r="K2" t="s">
        <v>63</v>
      </c>
      <c r="L2" t="s">
        <v>64</v>
      </c>
      <c r="M2" t="s">
        <v>65</v>
      </c>
      <c r="N2" t="s">
        <v>66</v>
      </c>
      <c r="O2" t="s">
        <v>67</v>
      </c>
      <c r="Q2">
        <v>5</v>
      </c>
      <c r="R2">
        <v>5</v>
      </c>
      <c r="S2" t="s">
        <v>68</v>
      </c>
      <c r="T2" s="2">
        <v>45667</v>
      </c>
      <c r="U2" t="s">
        <v>69</v>
      </c>
      <c r="V2" t="s">
        <v>63</v>
      </c>
      <c r="W2" t="s">
        <v>63</v>
      </c>
      <c r="X2" t="s">
        <v>63</v>
      </c>
      <c r="Y2">
        <v>6.5</v>
      </c>
      <c r="Z2">
        <v>5</v>
      </c>
      <c r="AA2" t="s">
        <v>70</v>
      </c>
      <c r="AB2" s="2">
        <v>45752</v>
      </c>
      <c r="AC2" t="s">
        <v>69</v>
      </c>
      <c r="AD2" t="s">
        <v>63</v>
      </c>
      <c r="AE2" t="s">
        <v>63</v>
      </c>
      <c r="AF2" t="s">
        <v>63</v>
      </c>
      <c r="AG2">
        <v>6.5</v>
      </c>
      <c r="AH2">
        <v>5</v>
      </c>
      <c r="AJ2" s="2">
        <v>45809</v>
      </c>
      <c r="AK2" t="s">
        <v>71</v>
      </c>
      <c r="AL2" t="s">
        <v>72</v>
      </c>
      <c r="AM2" t="s">
        <v>63</v>
      </c>
      <c r="AN2" t="s">
        <v>72</v>
      </c>
      <c r="AO2">
        <v>6.5</v>
      </c>
      <c r="AP2">
        <v>5</v>
      </c>
      <c r="AS2" t="s">
        <v>73</v>
      </c>
      <c r="AT2" t="s">
        <v>72</v>
      </c>
      <c r="AU2" t="s">
        <v>72</v>
      </c>
      <c r="AV2" t="s">
        <v>72</v>
      </c>
      <c r="AY2">
        <v>5</v>
      </c>
      <c r="BA2" t="s">
        <v>74</v>
      </c>
    </row>
    <row r="3" spans="1:53" x14ac:dyDescent="0.2">
      <c r="A3" t="s">
        <v>75</v>
      </c>
      <c r="B3" t="s">
        <v>54</v>
      </c>
      <c r="C3" t="s">
        <v>55</v>
      </c>
      <c r="D3" t="s">
        <v>76</v>
      </c>
      <c r="E3" t="s">
        <v>77</v>
      </c>
      <c r="F3" t="s">
        <v>78</v>
      </c>
      <c r="G3" t="s">
        <v>79</v>
      </c>
      <c r="H3" t="s">
        <v>80</v>
      </c>
      <c r="I3" t="s">
        <v>81</v>
      </c>
      <c r="J3" t="s">
        <v>82</v>
      </c>
      <c r="K3" t="s">
        <v>63</v>
      </c>
      <c r="L3" t="s">
        <v>64</v>
      </c>
      <c r="M3" t="s">
        <v>65</v>
      </c>
      <c r="N3" t="s">
        <v>66</v>
      </c>
      <c r="O3" t="s">
        <v>83</v>
      </c>
      <c r="P3" s="1" t="s">
        <v>84</v>
      </c>
      <c r="Q3">
        <v>5</v>
      </c>
      <c r="R3">
        <v>5</v>
      </c>
      <c r="S3" t="s">
        <v>85</v>
      </c>
      <c r="T3" s="2">
        <v>45668</v>
      </c>
      <c r="U3" t="s">
        <v>69</v>
      </c>
      <c r="V3" t="s">
        <v>63</v>
      </c>
      <c r="W3" t="s">
        <v>63</v>
      </c>
      <c r="X3" t="s">
        <v>72</v>
      </c>
      <c r="Y3">
        <v>6</v>
      </c>
      <c r="Z3">
        <v>5</v>
      </c>
      <c r="AA3" t="s">
        <v>86</v>
      </c>
      <c r="AB3" s="2">
        <v>45753</v>
      </c>
      <c r="AC3" t="s">
        <v>69</v>
      </c>
      <c r="AD3" t="s">
        <v>72</v>
      </c>
      <c r="AE3" t="s">
        <v>63</v>
      </c>
      <c r="AF3" t="s">
        <v>63</v>
      </c>
      <c r="AG3">
        <v>6</v>
      </c>
      <c r="AH3">
        <v>5</v>
      </c>
      <c r="AJ3" s="2">
        <v>45810</v>
      </c>
      <c r="AK3" t="s">
        <v>71</v>
      </c>
      <c r="AL3" t="s">
        <v>72</v>
      </c>
      <c r="AM3" t="s">
        <v>63</v>
      </c>
      <c r="AN3" t="s">
        <v>72</v>
      </c>
      <c r="AO3">
        <v>6</v>
      </c>
      <c r="AP3">
        <v>5</v>
      </c>
      <c r="AS3" t="s">
        <v>73</v>
      </c>
      <c r="AT3" t="s">
        <v>72</v>
      </c>
      <c r="AU3" t="s">
        <v>72</v>
      </c>
      <c r="AV3" t="s">
        <v>72</v>
      </c>
      <c r="AY3">
        <v>5</v>
      </c>
    </row>
    <row r="4" spans="1:53" x14ac:dyDescent="0.2">
      <c r="A4" t="s">
        <v>87</v>
      </c>
      <c r="B4" t="s">
        <v>54</v>
      </c>
      <c r="C4" t="s">
        <v>55</v>
      </c>
      <c r="D4" t="s">
        <v>88</v>
      </c>
      <c r="E4" t="s">
        <v>89</v>
      </c>
      <c r="F4" t="s">
        <v>90</v>
      </c>
      <c r="G4" t="s">
        <v>91</v>
      </c>
      <c r="H4" t="s">
        <v>92</v>
      </c>
      <c r="I4" t="s">
        <v>93</v>
      </c>
      <c r="J4" t="s">
        <v>94</v>
      </c>
      <c r="K4" t="s">
        <v>63</v>
      </c>
      <c r="L4" t="s">
        <v>64</v>
      </c>
      <c r="M4" t="s">
        <v>65</v>
      </c>
      <c r="N4" t="s">
        <v>66</v>
      </c>
      <c r="O4" t="s">
        <v>95</v>
      </c>
      <c r="P4" t="s">
        <v>96</v>
      </c>
      <c r="Q4">
        <v>5</v>
      </c>
      <c r="R4">
        <v>5</v>
      </c>
      <c r="S4" t="s">
        <v>97</v>
      </c>
      <c r="T4" s="2">
        <v>45669</v>
      </c>
      <c r="U4" t="s">
        <v>69</v>
      </c>
      <c r="V4" t="s">
        <v>63</v>
      </c>
      <c r="W4" t="s">
        <v>63</v>
      </c>
      <c r="X4" t="s">
        <v>72</v>
      </c>
      <c r="Y4">
        <v>6</v>
      </c>
      <c r="Z4">
        <v>5</v>
      </c>
      <c r="AA4" t="s">
        <v>98</v>
      </c>
      <c r="AB4" s="2">
        <v>45754</v>
      </c>
      <c r="AC4" t="s">
        <v>69</v>
      </c>
      <c r="AD4" t="s">
        <v>63</v>
      </c>
      <c r="AE4" t="s">
        <v>63</v>
      </c>
      <c r="AF4" t="s">
        <v>72</v>
      </c>
      <c r="AG4">
        <v>6</v>
      </c>
      <c r="AH4">
        <v>5</v>
      </c>
      <c r="AJ4" s="2">
        <v>45811</v>
      </c>
      <c r="AK4" t="s">
        <v>71</v>
      </c>
      <c r="AL4" t="s">
        <v>72</v>
      </c>
      <c r="AM4" t="s">
        <v>63</v>
      </c>
      <c r="AN4" t="s">
        <v>72</v>
      </c>
      <c r="AO4">
        <v>6</v>
      </c>
      <c r="AP4">
        <v>5</v>
      </c>
      <c r="AS4" t="s">
        <v>73</v>
      </c>
      <c r="AT4" t="s">
        <v>72</v>
      </c>
      <c r="AU4" t="s">
        <v>72</v>
      </c>
      <c r="AV4" t="s">
        <v>72</v>
      </c>
      <c r="AY4">
        <v>5</v>
      </c>
    </row>
    <row r="5" spans="1:53" x14ac:dyDescent="0.2">
      <c r="A5" t="s">
        <v>99</v>
      </c>
      <c r="B5" t="s">
        <v>54</v>
      </c>
      <c r="C5" t="s">
        <v>55</v>
      </c>
      <c r="D5" t="s">
        <v>76</v>
      </c>
      <c r="E5" t="s">
        <v>77</v>
      </c>
      <c r="F5" t="s">
        <v>78</v>
      </c>
      <c r="G5" t="s">
        <v>100</v>
      </c>
      <c r="H5" t="s">
        <v>101</v>
      </c>
      <c r="I5" t="s">
        <v>102</v>
      </c>
      <c r="J5" s="1" t="s">
        <v>103</v>
      </c>
      <c r="K5" t="s">
        <v>63</v>
      </c>
      <c r="L5" t="s">
        <v>64</v>
      </c>
      <c r="M5" t="s">
        <v>65</v>
      </c>
      <c r="N5" t="s">
        <v>66</v>
      </c>
      <c r="O5" t="s">
        <v>104</v>
      </c>
      <c r="Q5">
        <v>5</v>
      </c>
      <c r="R5">
        <v>5</v>
      </c>
      <c r="S5" t="s">
        <v>105</v>
      </c>
      <c r="T5" s="2">
        <v>45670</v>
      </c>
      <c r="U5" t="s">
        <v>69</v>
      </c>
      <c r="V5" t="s">
        <v>63</v>
      </c>
      <c r="W5" t="s">
        <v>63</v>
      </c>
      <c r="X5" t="s">
        <v>72</v>
      </c>
      <c r="Y5">
        <v>6.5</v>
      </c>
      <c r="Z5">
        <v>5</v>
      </c>
      <c r="AA5" t="s">
        <v>106</v>
      </c>
      <c r="AB5" s="2">
        <v>45755</v>
      </c>
      <c r="AC5" t="s">
        <v>69</v>
      </c>
      <c r="AD5" t="s">
        <v>72</v>
      </c>
      <c r="AE5" t="s">
        <v>63</v>
      </c>
      <c r="AF5" t="s">
        <v>63</v>
      </c>
      <c r="AG5">
        <v>6.5</v>
      </c>
      <c r="AH5">
        <v>5</v>
      </c>
      <c r="AJ5" s="2">
        <v>45812</v>
      </c>
      <c r="AK5" t="s">
        <v>71</v>
      </c>
      <c r="AL5" t="s">
        <v>72</v>
      </c>
      <c r="AM5" t="s">
        <v>63</v>
      </c>
      <c r="AN5" t="s">
        <v>72</v>
      </c>
      <c r="AO5">
        <v>6.5</v>
      </c>
      <c r="AP5">
        <v>5</v>
      </c>
      <c r="AS5" t="s">
        <v>73</v>
      </c>
      <c r="AT5" t="s">
        <v>72</v>
      </c>
      <c r="AU5" t="s">
        <v>72</v>
      </c>
      <c r="AV5" t="s">
        <v>72</v>
      </c>
      <c r="AY5">
        <v>5</v>
      </c>
    </row>
    <row r="6" spans="1:53" x14ac:dyDescent="0.2">
      <c r="A6" t="s">
        <v>107</v>
      </c>
      <c r="B6" t="s">
        <v>54</v>
      </c>
      <c r="C6" t="s">
        <v>55</v>
      </c>
      <c r="D6" t="s">
        <v>108</v>
      </c>
      <c r="E6" t="s">
        <v>109</v>
      </c>
      <c r="F6" t="s">
        <v>110</v>
      </c>
      <c r="G6" t="s">
        <v>111</v>
      </c>
      <c r="H6" t="s">
        <v>112</v>
      </c>
      <c r="I6" t="s">
        <v>113</v>
      </c>
      <c r="J6" t="s">
        <v>114</v>
      </c>
      <c r="K6" t="s">
        <v>63</v>
      </c>
      <c r="L6" t="s">
        <v>64</v>
      </c>
      <c r="M6" t="s">
        <v>65</v>
      </c>
      <c r="N6" t="s">
        <v>66</v>
      </c>
      <c r="O6" t="s">
        <v>115</v>
      </c>
      <c r="P6" t="s">
        <v>116</v>
      </c>
      <c r="Q6">
        <v>6</v>
      </c>
      <c r="R6">
        <v>5</v>
      </c>
      <c r="S6" t="s">
        <v>117</v>
      </c>
      <c r="T6" s="2">
        <v>45671</v>
      </c>
      <c r="U6" t="s">
        <v>69</v>
      </c>
      <c r="V6" t="s">
        <v>63</v>
      </c>
      <c r="W6" t="s">
        <v>63</v>
      </c>
      <c r="X6" t="s">
        <v>63</v>
      </c>
      <c r="Y6">
        <v>6.5</v>
      </c>
      <c r="Z6">
        <v>5</v>
      </c>
      <c r="AA6" t="s">
        <v>118</v>
      </c>
      <c r="AB6" s="2">
        <v>45756</v>
      </c>
      <c r="AC6" t="s">
        <v>69</v>
      </c>
      <c r="AD6" t="s">
        <v>63</v>
      </c>
      <c r="AE6" t="s">
        <v>63</v>
      </c>
      <c r="AF6" t="s">
        <v>72</v>
      </c>
      <c r="AG6">
        <v>6.5</v>
      </c>
      <c r="AH6">
        <v>5</v>
      </c>
      <c r="AJ6" s="2">
        <v>45813</v>
      </c>
      <c r="AK6" t="s">
        <v>71</v>
      </c>
      <c r="AL6" t="s">
        <v>72</v>
      </c>
      <c r="AM6" t="s">
        <v>63</v>
      </c>
      <c r="AN6" t="s">
        <v>72</v>
      </c>
      <c r="AO6">
        <v>6.5</v>
      </c>
      <c r="AP6">
        <v>5</v>
      </c>
      <c r="AS6" t="s">
        <v>73</v>
      </c>
      <c r="AT6" t="s">
        <v>72</v>
      </c>
      <c r="AU6" t="s">
        <v>72</v>
      </c>
      <c r="AV6" t="s">
        <v>72</v>
      </c>
      <c r="AY6">
        <v>5</v>
      </c>
    </row>
    <row r="7" spans="1:53" x14ac:dyDescent="0.2">
      <c r="A7" t="s">
        <v>119</v>
      </c>
      <c r="B7" t="s">
        <v>54</v>
      </c>
      <c r="C7" t="s">
        <v>55</v>
      </c>
      <c r="D7" t="s">
        <v>120</v>
      </c>
      <c r="E7" t="s">
        <v>121</v>
      </c>
      <c r="F7" t="s">
        <v>122</v>
      </c>
      <c r="G7" t="s">
        <v>123</v>
      </c>
      <c r="H7" t="s">
        <v>124</v>
      </c>
      <c r="I7" t="s">
        <v>125</v>
      </c>
      <c r="J7" t="s">
        <v>126</v>
      </c>
      <c r="K7" t="s">
        <v>63</v>
      </c>
      <c r="L7" t="s">
        <v>64</v>
      </c>
      <c r="M7" t="s">
        <v>65</v>
      </c>
      <c r="N7" t="s">
        <v>66</v>
      </c>
      <c r="O7" t="s">
        <v>127</v>
      </c>
      <c r="P7" t="s">
        <v>128</v>
      </c>
      <c r="Q7">
        <v>6</v>
      </c>
      <c r="R7">
        <v>5</v>
      </c>
      <c r="S7" t="s">
        <v>129</v>
      </c>
      <c r="T7" s="2">
        <v>45672</v>
      </c>
      <c r="U7" t="s">
        <v>69</v>
      </c>
      <c r="V7" t="s">
        <v>63</v>
      </c>
      <c r="W7" t="s">
        <v>63</v>
      </c>
      <c r="X7" t="s">
        <v>72</v>
      </c>
      <c r="Y7">
        <v>6.5</v>
      </c>
      <c r="Z7">
        <v>5</v>
      </c>
      <c r="AA7" t="s">
        <v>130</v>
      </c>
      <c r="AB7" s="2">
        <v>45757</v>
      </c>
      <c r="AC7" t="s">
        <v>69</v>
      </c>
      <c r="AD7" t="s">
        <v>72</v>
      </c>
      <c r="AE7" t="s">
        <v>63</v>
      </c>
      <c r="AF7" t="s">
        <v>63</v>
      </c>
      <c r="AG7">
        <v>6.5</v>
      </c>
      <c r="AH7">
        <v>5</v>
      </c>
      <c r="AJ7" s="2">
        <v>45814</v>
      </c>
      <c r="AK7" t="s">
        <v>71</v>
      </c>
      <c r="AL7" t="s">
        <v>72</v>
      </c>
      <c r="AM7" t="s">
        <v>63</v>
      </c>
      <c r="AN7" t="s">
        <v>72</v>
      </c>
      <c r="AO7">
        <v>6.5</v>
      </c>
      <c r="AP7">
        <v>5</v>
      </c>
      <c r="AS7" t="s">
        <v>73</v>
      </c>
      <c r="AT7" t="s">
        <v>72</v>
      </c>
      <c r="AU7" t="s">
        <v>72</v>
      </c>
      <c r="AV7" t="s">
        <v>72</v>
      </c>
      <c r="AY7">
        <v>5</v>
      </c>
    </row>
    <row r="8" spans="1:53" x14ac:dyDescent="0.2">
      <c r="A8" t="s">
        <v>131</v>
      </c>
      <c r="B8" t="s">
        <v>54</v>
      </c>
      <c r="C8" t="s">
        <v>55</v>
      </c>
      <c r="D8" t="s">
        <v>88</v>
      </c>
      <c r="E8" t="s">
        <v>89</v>
      </c>
      <c r="F8" t="s">
        <v>90</v>
      </c>
      <c r="G8" t="s">
        <v>132</v>
      </c>
      <c r="H8" t="s">
        <v>133</v>
      </c>
      <c r="I8" t="s">
        <v>134</v>
      </c>
      <c r="J8" t="s">
        <v>135</v>
      </c>
      <c r="K8" t="s">
        <v>63</v>
      </c>
      <c r="L8" t="s">
        <v>64</v>
      </c>
      <c r="M8" t="s">
        <v>65</v>
      </c>
      <c r="N8" t="s">
        <v>66</v>
      </c>
      <c r="O8" t="s">
        <v>136</v>
      </c>
      <c r="P8" t="s">
        <v>137</v>
      </c>
      <c r="Q8">
        <v>5</v>
      </c>
      <c r="R8">
        <v>5</v>
      </c>
      <c r="S8" t="s">
        <v>138</v>
      </c>
      <c r="T8" s="2">
        <v>45673</v>
      </c>
      <c r="U8" t="s">
        <v>69</v>
      </c>
      <c r="V8" t="s">
        <v>63</v>
      </c>
      <c r="W8" t="s">
        <v>63</v>
      </c>
      <c r="X8" t="s">
        <v>63</v>
      </c>
      <c r="Y8">
        <v>6</v>
      </c>
      <c r="Z8">
        <v>5</v>
      </c>
      <c r="AA8" t="s">
        <v>139</v>
      </c>
      <c r="AB8" s="2">
        <v>45758</v>
      </c>
      <c r="AC8" t="s">
        <v>69</v>
      </c>
      <c r="AD8" t="s">
        <v>63</v>
      </c>
      <c r="AE8" t="s">
        <v>63</v>
      </c>
      <c r="AF8" t="s">
        <v>72</v>
      </c>
      <c r="AG8">
        <v>6</v>
      </c>
      <c r="AH8">
        <v>5</v>
      </c>
      <c r="AJ8" s="2">
        <v>45815</v>
      </c>
      <c r="AK8" t="s">
        <v>71</v>
      </c>
      <c r="AL8" t="s">
        <v>72</v>
      </c>
      <c r="AM8" t="s">
        <v>63</v>
      </c>
      <c r="AN8" t="s">
        <v>72</v>
      </c>
      <c r="AO8">
        <v>6</v>
      </c>
      <c r="AP8">
        <v>5</v>
      </c>
      <c r="AS8" t="s">
        <v>73</v>
      </c>
      <c r="AT8" t="s">
        <v>72</v>
      </c>
      <c r="AU8" t="s">
        <v>72</v>
      </c>
      <c r="AV8" t="s">
        <v>72</v>
      </c>
      <c r="AY8">
        <v>5</v>
      </c>
    </row>
    <row r="9" spans="1:53" x14ac:dyDescent="0.2">
      <c r="A9" t="s">
        <v>140</v>
      </c>
      <c r="B9" t="s">
        <v>54</v>
      </c>
      <c r="C9" t="s">
        <v>55</v>
      </c>
      <c r="D9" t="s">
        <v>56</v>
      </c>
      <c r="E9" t="s">
        <v>57</v>
      </c>
      <c r="F9" t="s">
        <v>58</v>
      </c>
      <c r="G9" t="s">
        <v>141</v>
      </c>
      <c r="H9" t="s">
        <v>142</v>
      </c>
      <c r="I9" t="s">
        <v>143</v>
      </c>
      <c r="J9" s="1" t="s">
        <v>144</v>
      </c>
      <c r="K9" t="s">
        <v>63</v>
      </c>
      <c r="L9" t="s">
        <v>64</v>
      </c>
      <c r="M9" t="s">
        <v>65</v>
      </c>
      <c r="N9" t="s">
        <v>66</v>
      </c>
      <c r="O9" t="s">
        <v>145</v>
      </c>
      <c r="Q9">
        <v>5.5</v>
      </c>
      <c r="R9">
        <v>5</v>
      </c>
      <c r="S9" t="s">
        <v>146</v>
      </c>
      <c r="T9" s="2">
        <v>45674</v>
      </c>
      <c r="U9" t="s">
        <v>69</v>
      </c>
      <c r="V9" t="s">
        <v>63</v>
      </c>
      <c r="W9" t="s">
        <v>63</v>
      </c>
      <c r="X9" t="s">
        <v>63</v>
      </c>
      <c r="Y9">
        <v>6</v>
      </c>
      <c r="Z9">
        <v>5</v>
      </c>
      <c r="AA9" t="s">
        <v>147</v>
      </c>
      <c r="AB9" s="2">
        <v>45759</v>
      </c>
      <c r="AC9" t="s">
        <v>69</v>
      </c>
      <c r="AD9" t="s">
        <v>63</v>
      </c>
      <c r="AE9" t="s">
        <v>63</v>
      </c>
      <c r="AF9" t="s">
        <v>63</v>
      </c>
      <c r="AG9">
        <v>6</v>
      </c>
      <c r="AH9">
        <v>5</v>
      </c>
      <c r="AJ9" s="2">
        <v>45816</v>
      </c>
      <c r="AK9" t="s">
        <v>71</v>
      </c>
      <c r="AL9" t="s">
        <v>72</v>
      </c>
      <c r="AM9" t="s">
        <v>63</v>
      </c>
      <c r="AN9" t="s">
        <v>72</v>
      </c>
      <c r="AO9">
        <v>6</v>
      </c>
      <c r="AP9">
        <v>5</v>
      </c>
      <c r="AS9" t="s">
        <v>73</v>
      </c>
      <c r="AT9" t="s">
        <v>72</v>
      </c>
      <c r="AU9" t="s">
        <v>72</v>
      </c>
      <c r="AV9" t="s">
        <v>72</v>
      </c>
      <c r="AY9">
        <v>5</v>
      </c>
    </row>
    <row r="10" spans="1:53" x14ac:dyDescent="0.2">
      <c r="A10" t="s">
        <v>148</v>
      </c>
      <c r="B10" t="s">
        <v>54</v>
      </c>
      <c r="C10" t="s">
        <v>55</v>
      </c>
      <c r="D10" t="s">
        <v>56</v>
      </c>
      <c r="E10" t="s">
        <v>57</v>
      </c>
      <c r="F10" t="s">
        <v>58</v>
      </c>
      <c r="G10" t="s">
        <v>149</v>
      </c>
      <c r="H10" t="s">
        <v>150</v>
      </c>
      <c r="I10" t="s">
        <v>151</v>
      </c>
      <c r="J10" s="1" t="s">
        <v>152</v>
      </c>
      <c r="K10" t="s">
        <v>63</v>
      </c>
      <c r="L10" t="s">
        <v>64</v>
      </c>
      <c r="M10" t="s">
        <v>65</v>
      </c>
      <c r="N10" t="s">
        <v>66</v>
      </c>
      <c r="O10" t="s">
        <v>153</v>
      </c>
      <c r="Q10">
        <v>5.5</v>
      </c>
      <c r="R10">
        <v>5</v>
      </c>
      <c r="S10" t="s">
        <v>154</v>
      </c>
      <c r="T10" s="2">
        <v>45675</v>
      </c>
      <c r="U10" t="s">
        <v>69</v>
      </c>
      <c r="V10" t="s">
        <v>63</v>
      </c>
      <c r="W10" t="s">
        <v>63</v>
      </c>
      <c r="X10" t="s">
        <v>72</v>
      </c>
      <c r="Y10">
        <v>6</v>
      </c>
      <c r="Z10">
        <v>5</v>
      </c>
      <c r="AA10" t="s">
        <v>155</v>
      </c>
      <c r="AB10" s="2">
        <v>45760</v>
      </c>
      <c r="AC10" t="s">
        <v>69</v>
      </c>
      <c r="AD10" t="s">
        <v>63</v>
      </c>
      <c r="AE10" t="s">
        <v>63</v>
      </c>
      <c r="AF10" t="s">
        <v>72</v>
      </c>
      <c r="AG10">
        <v>6</v>
      </c>
      <c r="AH10">
        <v>5</v>
      </c>
      <c r="AJ10" s="2">
        <v>45817</v>
      </c>
      <c r="AK10" t="s">
        <v>71</v>
      </c>
      <c r="AL10" t="s">
        <v>72</v>
      </c>
      <c r="AM10" t="s">
        <v>63</v>
      </c>
      <c r="AN10" t="s">
        <v>72</v>
      </c>
      <c r="AO10">
        <v>6</v>
      </c>
      <c r="AP10">
        <v>5</v>
      </c>
      <c r="AS10" t="s">
        <v>73</v>
      </c>
      <c r="AT10" t="s">
        <v>72</v>
      </c>
      <c r="AU10" t="s">
        <v>72</v>
      </c>
      <c r="AV10" t="s">
        <v>72</v>
      </c>
      <c r="AY10">
        <v>5</v>
      </c>
    </row>
    <row r="11" spans="1:53" x14ac:dyDescent="0.2">
      <c r="A11" t="s">
        <v>156</v>
      </c>
      <c r="B11" t="s">
        <v>54</v>
      </c>
      <c r="C11" t="s">
        <v>55</v>
      </c>
      <c r="D11" t="s">
        <v>56</v>
      </c>
      <c r="E11" t="s">
        <v>57</v>
      </c>
      <c r="F11" t="s">
        <v>58</v>
      </c>
      <c r="G11" t="s">
        <v>157</v>
      </c>
      <c r="H11" t="s">
        <v>158</v>
      </c>
      <c r="I11" t="s">
        <v>159</v>
      </c>
      <c r="J11" s="1" t="s">
        <v>160</v>
      </c>
      <c r="K11" t="s">
        <v>63</v>
      </c>
      <c r="L11" t="s">
        <v>64</v>
      </c>
      <c r="M11" t="s">
        <v>65</v>
      </c>
      <c r="N11" t="s">
        <v>66</v>
      </c>
      <c r="O11" t="s">
        <v>161</v>
      </c>
      <c r="Q11">
        <v>5</v>
      </c>
      <c r="R11">
        <v>5</v>
      </c>
      <c r="S11" t="s">
        <v>162</v>
      </c>
      <c r="T11" s="2">
        <v>45676</v>
      </c>
      <c r="U11" t="s">
        <v>69</v>
      </c>
      <c r="V11" t="s">
        <v>63</v>
      </c>
      <c r="W11" t="s">
        <v>63</v>
      </c>
      <c r="X11" t="s">
        <v>63</v>
      </c>
      <c r="Y11">
        <v>5</v>
      </c>
      <c r="Z11">
        <v>5</v>
      </c>
      <c r="AA11" t="s">
        <v>163</v>
      </c>
      <c r="AB11" s="2">
        <v>45761</v>
      </c>
      <c r="AC11" t="s">
        <v>69</v>
      </c>
      <c r="AD11" t="s">
        <v>72</v>
      </c>
      <c r="AE11" t="s">
        <v>63</v>
      </c>
      <c r="AF11" t="s">
        <v>63</v>
      </c>
      <c r="AG11">
        <v>5</v>
      </c>
      <c r="AH11">
        <v>5</v>
      </c>
      <c r="AJ11" s="2">
        <v>45818</v>
      </c>
      <c r="AK11" t="s">
        <v>71</v>
      </c>
      <c r="AL11" t="s">
        <v>72</v>
      </c>
      <c r="AM11" t="s">
        <v>63</v>
      </c>
      <c r="AN11" t="s">
        <v>72</v>
      </c>
      <c r="AO11">
        <v>5</v>
      </c>
      <c r="AP11">
        <v>5</v>
      </c>
      <c r="AS11" t="s">
        <v>73</v>
      </c>
      <c r="AT11" t="s">
        <v>72</v>
      </c>
      <c r="AU11" t="s">
        <v>72</v>
      </c>
      <c r="AV11" t="s">
        <v>72</v>
      </c>
      <c r="AY11">
        <v>5</v>
      </c>
    </row>
    <row r="12" spans="1:53" x14ac:dyDescent="0.2">
      <c r="A12" t="s">
        <v>164</v>
      </c>
      <c r="B12" t="s">
        <v>54</v>
      </c>
      <c r="C12" t="s">
        <v>55</v>
      </c>
      <c r="D12" t="s">
        <v>56</v>
      </c>
      <c r="E12" t="s">
        <v>57</v>
      </c>
      <c r="F12" t="s">
        <v>58</v>
      </c>
      <c r="G12" t="s">
        <v>165</v>
      </c>
      <c r="H12" t="s">
        <v>166</v>
      </c>
      <c r="I12" t="s">
        <v>167</v>
      </c>
      <c r="J12" t="s">
        <v>168</v>
      </c>
      <c r="K12" t="s">
        <v>63</v>
      </c>
      <c r="L12" t="s">
        <v>64</v>
      </c>
      <c r="M12" t="s">
        <v>65</v>
      </c>
      <c r="N12" t="s">
        <v>66</v>
      </c>
      <c r="O12" t="s">
        <v>169</v>
      </c>
      <c r="P12" t="s">
        <v>170</v>
      </c>
      <c r="Q12">
        <v>5</v>
      </c>
      <c r="R12">
        <v>5</v>
      </c>
      <c r="S12" t="s">
        <v>171</v>
      </c>
      <c r="T12" s="2">
        <v>45677</v>
      </c>
      <c r="U12" t="s">
        <v>69</v>
      </c>
      <c r="V12" t="s">
        <v>63</v>
      </c>
      <c r="W12" t="s">
        <v>63</v>
      </c>
      <c r="X12" t="s">
        <v>63</v>
      </c>
      <c r="Y12">
        <v>6</v>
      </c>
      <c r="Z12">
        <v>5</v>
      </c>
      <c r="AA12" t="s">
        <v>172</v>
      </c>
      <c r="AB12" s="2">
        <v>45762</v>
      </c>
      <c r="AC12" t="s">
        <v>69</v>
      </c>
      <c r="AD12" t="s">
        <v>72</v>
      </c>
      <c r="AE12" t="s">
        <v>63</v>
      </c>
      <c r="AF12" t="s">
        <v>63</v>
      </c>
      <c r="AG12">
        <v>6</v>
      </c>
      <c r="AH12">
        <v>5</v>
      </c>
      <c r="AJ12" s="2">
        <v>45819</v>
      </c>
      <c r="AK12" t="s">
        <v>71</v>
      </c>
      <c r="AL12" t="s">
        <v>72</v>
      </c>
      <c r="AM12" t="s">
        <v>63</v>
      </c>
      <c r="AN12" t="s">
        <v>72</v>
      </c>
      <c r="AO12">
        <v>6</v>
      </c>
      <c r="AP12">
        <v>5</v>
      </c>
      <c r="AS12" t="s">
        <v>73</v>
      </c>
      <c r="AT12" t="s">
        <v>72</v>
      </c>
      <c r="AU12" t="s">
        <v>72</v>
      </c>
      <c r="AV12" t="s">
        <v>72</v>
      </c>
      <c r="AY12">
        <v>5</v>
      </c>
    </row>
    <row r="13" spans="1:53" x14ac:dyDescent="0.2">
      <c r="A13" t="s">
        <v>173</v>
      </c>
      <c r="B13" t="s">
        <v>54</v>
      </c>
      <c r="C13" t="s">
        <v>55</v>
      </c>
      <c r="D13" t="s">
        <v>56</v>
      </c>
      <c r="E13" t="s">
        <v>57</v>
      </c>
      <c r="F13" t="s">
        <v>58</v>
      </c>
      <c r="G13" t="s">
        <v>174</v>
      </c>
      <c r="H13" t="s">
        <v>175</v>
      </c>
      <c r="I13" t="s">
        <v>176</v>
      </c>
      <c r="J13" t="s">
        <v>177</v>
      </c>
      <c r="K13" t="s">
        <v>63</v>
      </c>
      <c r="L13" t="s">
        <v>64</v>
      </c>
      <c r="M13" t="s">
        <v>65</v>
      </c>
      <c r="N13" t="s">
        <v>66</v>
      </c>
      <c r="O13" t="s">
        <v>178</v>
      </c>
      <c r="P13" t="s">
        <v>179</v>
      </c>
      <c r="Q13">
        <v>5</v>
      </c>
      <c r="R13">
        <v>5</v>
      </c>
      <c r="S13" t="s">
        <v>180</v>
      </c>
      <c r="T13" s="2">
        <v>45678</v>
      </c>
      <c r="U13" t="s">
        <v>69</v>
      </c>
      <c r="V13" t="s">
        <v>63</v>
      </c>
      <c r="W13" t="s">
        <v>63</v>
      </c>
      <c r="X13" t="s">
        <v>63</v>
      </c>
      <c r="Y13">
        <v>6</v>
      </c>
      <c r="Z13">
        <v>5</v>
      </c>
      <c r="AA13" t="s">
        <v>181</v>
      </c>
      <c r="AB13" s="2">
        <v>45763</v>
      </c>
      <c r="AC13" t="s">
        <v>69</v>
      </c>
      <c r="AD13" t="s">
        <v>72</v>
      </c>
      <c r="AE13" t="s">
        <v>63</v>
      </c>
      <c r="AF13" t="s">
        <v>63</v>
      </c>
      <c r="AG13">
        <v>6</v>
      </c>
      <c r="AH13">
        <v>5</v>
      </c>
      <c r="AJ13" s="2">
        <v>45820</v>
      </c>
      <c r="AK13" t="s">
        <v>71</v>
      </c>
      <c r="AL13" t="s">
        <v>72</v>
      </c>
      <c r="AM13" t="s">
        <v>63</v>
      </c>
      <c r="AN13" t="s">
        <v>72</v>
      </c>
      <c r="AO13">
        <v>6</v>
      </c>
      <c r="AP13">
        <v>5</v>
      </c>
      <c r="AS13" t="s">
        <v>73</v>
      </c>
      <c r="AT13" t="s">
        <v>72</v>
      </c>
      <c r="AU13" t="s">
        <v>72</v>
      </c>
      <c r="AV13" t="s">
        <v>72</v>
      </c>
      <c r="AY13">
        <v>5</v>
      </c>
    </row>
    <row r="14" spans="1:53" x14ac:dyDescent="0.2">
      <c r="A14" t="s">
        <v>182</v>
      </c>
      <c r="B14" t="s">
        <v>183</v>
      </c>
      <c r="C14" t="s">
        <v>184</v>
      </c>
      <c r="D14" t="s">
        <v>185</v>
      </c>
      <c r="E14" t="s">
        <v>186</v>
      </c>
      <c r="F14" t="s">
        <v>187</v>
      </c>
      <c r="G14" t="s">
        <v>188</v>
      </c>
      <c r="H14" t="s">
        <v>189</v>
      </c>
      <c r="I14" t="s">
        <v>190</v>
      </c>
      <c r="J14" t="s">
        <v>191</v>
      </c>
      <c r="K14" t="s">
        <v>63</v>
      </c>
      <c r="L14" t="s">
        <v>192</v>
      </c>
      <c r="M14" t="s">
        <v>65</v>
      </c>
      <c r="N14" t="s">
        <v>66</v>
      </c>
      <c r="O14" t="s">
        <v>193</v>
      </c>
      <c r="P14" t="s">
        <v>194</v>
      </c>
      <c r="Q14">
        <v>1</v>
      </c>
      <c r="R14">
        <v>5</v>
      </c>
      <c r="S14" t="s">
        <v>195</v>
      </c>
      <c r="T14" s="2">
        <v>45679</v>
      </c>
      <c r="U14" t="s">
        <v>69</v>
      </c>
      <c r="V14" t="s">
        <v>63</v>
      </c>
      <c r="W14" t="s">
        <v>63</v>
      </c>
      <c r="X14" t="s">
        <v>63</v>
      </c>
      <c r="Y14">
        <v>3</v>
      </c>
      <c r="Z14">
        <v>5</v>
      </c>
      <c r="AA14" t="s">
        <v>196</v>
      </c>
      <c r="AB14" s="2">
        <v>45764</v>
      </c>
      <c r="AC14" t="s">
        <v>69</v>
      </c>
      <c r="AD14" t="s">
        <v>63</v>
      </c>
      <c r="AE14" t="s">
        <v>63</v>
      </c>
      <c r="AF14" t="s">
        <v>63</v>
      </c>
      <c r="AG14">
        <v>3</v>
      </c>
      <c r="AH14">
        <v>5</v>
      </c>
      <c r="AJ14" s="2">
        <v>45821</v>
      </c>
      <c r="AK14" t="s">
        <v>71</v>
      </c>
      <c r="AL14" t="s">
        <v>72</v>
      </c>
      <c r="AM14" t="s">
        <v>63</v>
      </c>
      <c r="AN14" t="s">
        <v>72</v>
      </c>
      <c r="AO14">
        <v>3</v>
      </c>
      <c r="AP14">
        <v>5</v>
      </c>
      <c r="AS14" t="s">
        <v>73</v>
      </c>
      <c r="AT14" t="s">
        <v>72</v>
      </c>
      <c r="AU14" t="s">
        <v>72</v>
      </c>
      <c r="AV14" t="s">
        <v>72</v>
      </c>
      <c r="AW14" t="s">
        <v>192</v>
      </c>
      <c r="AX14" s="3">
        <v>46295</v>
      </c>
      <c r="AY14">
        <v>5</v>
      </c>
      <c r="AZ14" t="s">
        <v>197</v>
      </c>
    </row>
    <row r="15" spans="1:53" x14ac:dyDescent="0.2">
      <c r="A15" t="s">
        <v>198</v>
      </c>
      <c r="B15" t="s">
        <v>199</v>
      </c>
      <c r="C15" t="s">
        <v>200</v>
      </c>
      <c r="D15" t="s">
        <v>201</v>
      </c>
      <c r="E15" t="s">
        <v>202</v>
      </c>
      <c r="F15" t="s">
        <v>203</v>
      </c>
      <c r="G15" t="s">
        <v>204</v>
      </c>
      <c r="H15" t="s">
        <v>205</v>
      </c>
      <c r="I15" t="s">
        <v>206</v>
      </c>
      <c r="J15" t="s">
        <v>207</v>
      </c>
      <c r="K15" t="s">
        <v>63</v>
      </c>
      <c r="L15" t="s">
        <v>64</v>
      </c>
      <c r="M15" t="s">
        <v>65</v>
      </c>
      <c r="N15" t="s">
        <v>66</v>
      </c>
      <c r="O15" t="s">
        <v>208</v>
      </c>
      <c r="P15" t="s">
        <v>209</v>
      </c>
      <c r="Q15">
        <v>4</v>
      </c>
      <c r="R15">
        <v>5</v>
      </c>
      <c r="S15" t="s">
        <v>210</v>
      </c>
      <c r="T15" s="2">
        <v>45680</v>
      </c>
      <c r="U15" t="s">
        <v>69</v>
      </c>
      <c r="V15" t="s">
        <v>72</v>
      </c>
      <c r="W15" t="s">
        <v>63</v>
      </c>
      <c r="X15" t="s">
        <v>63</v>
      </c>
      <c r="Y15">
        <v>5</v>
      </c>
      <c r="Z15">
        <v>5</v>
      </c>
      <c r="AA15" t="s">
        <v>211</v>
      </c>
      <c r="AB15" s="2">
        <v>45765</v>
      </c>
      <c r="AC15" t="s">
        <v>69</v>
      </c>
      <c r="AD15" t="s">
        <v>72</v>
      </c>
      <c r="AE15" t="s">
        <v>63</v>
      </c>
      <c r="AF15" t="s">
        <v>63</v>
      </c>
      <c r="AG15">
        <v>6</v>
      </c>
      <c r="AH15">
        <v>5</v>
      </c>
      <c r="AJ15" s="2">
        <v>45822</v>
      </c>
      <c r="AK15" t="s">
        <v>212</v>
      </c>
      <c r="AL15" t="s">
        <v>72</v>
      </c>
      <c r="AM15" t="s">
        <v>63</v>
      </c>
      <c r="AN15" t="s">
        <v>72</v>
      </c>
      <c r="AO15">
        <v>6</v>
      </c>
      <c r="AP15">
        <v>5</v>
      </c>
      <c r="AS15" t="s">
        <v>73</v>
      </c>
      <c r="AT15" t="s">
        <v>72</v>
      </c>
      <c r="AU15" t="s">
        <v>72</v>
      </c>
      <c r="AV15" t="s">
        <v>72</v>
      </c>
      <c r="AY15">
        <v>5</v>
      </c>
    </row>
    <row r="16" spans="1:53" x14ac:dyDescent="0.2">
      <c r="A16" t="s">
        <v>213</v>
      </c>
      <c r="B16" t="s">
        <v>199</v>
      </c>
      <c r="C16" t="s">
        <v>200</v>
      </c>
      <c r="D16" t="s">
        <v>214</v>
      </c>
      <c r="E16" t="s">
        <v>215</v>
      </c>
      <c r="F16" t="s">
        <v>216</v>
      </c>
      <c r="G16" t="s">
        <v>217</v>
      </c>
      <c r="H16" t="s">
        <v>218</v>
      </c>
      <c r="I16" t="s">
        <v>219</v>
      </c>
      <c r="J16" s="1" t="s">
        <v>220</v>
      </c>
      <c r="K16" t="s">
        <v>63</v>
      </c>
      <c r="L16" t="s">
        <v>64</v>
      </c>
      <c r="M16" t="s">
        <v>65</v>
      </c>
      <c r="N16" t="s">
        <v>66</v>
      </c>
      <c r="O16" t="s">
        <v>221</v>
      </c>
      <c r="Q16">
        <v>1.5</v>
      </c>
      <c r="R16">
        <v>5</v>
      </c>
      <c r="S16" t="s">
        <v>222</v>
      </c>
      <c r="T16" s="2">
        <v>45681</v>
      </c>
      <c r="U16" t="s">
        <v>69</v>
      </c>
      <c r="V16" t="s">
        <v>63</v>
      </c>
      <c r="W16" t="s">
        <v>63</v>
      </c>
      <c r="X16" t="s">
        <v>63</v>
      </c>
      <c r="Y16">
        <v>5</v>
      </c>
      <c r="Z16">
        <v>5</v>
      </c>
      <c r="AA16" t="s">
        <v>223</v>
      </c>
      <c r="AB16" s="2">
        <v>45766</v>
      </c>
      <c r="AC16" t="s">
        <v>69</v>
      </c>
      <c r="AD16" t="s">
        <v>63</v>
      </c>
      <c r="AE16" t="s">
        <v>63</v>
      </c>
      <c r="AF16" t="s">
        <v>63</v>
      </c>
      <c r="AG16">
        <v>6</v>
      </c>
      <c r="AH16">
        <v>5</v>
      </c>
      <c r="AJ16" s="2">
        <v>45823</v>
      </c>
      <c r="AK16" t="s">
        <v>212</v>
      </c>
      <c r="AL16" t="s">
        <v>72</v>
      </c>
      <c r="AM16" t="s">
        <v>63</v>
      </c>
      <c r="AN16" t="s">
        <v>72</v>
      </c>
      <c r="AO16">
        <v>6</v>
      </c>
      <c r="AP16">
        <v>5</v>
      </c>
      <c r="AS16" t="s">
        <v>73</v>
      </c>
      <c r="AT16" t="s">
        <v>72</v>
      </c>
      <c r="AU16" t="s">
        <v>72</v>
      </c>
      <c r="AV16" t="s">
        <v>72</v>
      </c>
      <c r="AY16">
        <v>5</v>
      </c>
    </row>
    <row r="17" spans="1:53" x14ac:dyDescent="0.2">
      <c r="A17" t="s">
        <v>224</v>
      </c>
      <c r="B17" t="s">
        <v>225</v>
      </c>
      <c r="C17" t="s">
        <v>226</v>
      </c>
      <c r="D17" t="s">
        <v>227</v>
      </c>
      <c r="E17" t="s">
        <v>228</v>
      </c>
      <c r="F17" t="s">
        <v>229</v>
      </c>
      <c r="G17" t="s">
        <v>230</v>
      </c>
      <c r="H17" t="s">
        <v>231</v>
      </c>
      <c r="I17" t="s">
        <v>232</v>
      </c>
      <c r="J17" t="s">
        <v>233</v>
      </c>
      <c r="K17" t="s">
        <v>63</v>
      </c>
      <c r="L17" t="s">
        <v>64</v>
      </c>
      <c r="M17" t="s">
        <v>65</v>
      </c>
      <c r="N17" t="s">
        <v>66</v>
      </c>
      <c r="O17" t="s">
        <v>234</v>
      </c>
      <c r="P17" t="s">
        <v>235</v>
      </c>
      <c r="Q17">
        <v>2.5</v>
      </c>
      <c r="R17">
        <v>5</v>
      </c>
      <c r="S17" t="s">
        <v>236</v>
      </c>
      <c r="T17" s="2">
        <v>45682</v>
      </c>
      <c r="U17" t="s">
        <v>69</v>
      </c>
      <c r="V17" t="s">
        <v>63</v>
      </c>
      <c r="W17" t="s">
        <v>63</v>
      </c>
      <c r="X17" t="s">
        <v>72</v>
      </c>
      <c r="Y17">
        <v>5</v>
      </c>
      <c r="Z17">
        <v>5</v>
      </c>
      <c r="AA17" t="s">
        <v>237</v>
      </c>
      <c r="AB17" s="2">
        <v>45767</v>
      </c>
      <c r="AC17" t="s">
        <v>69</v>
      </c>
      <c r="AD17" t="s">
        <v>63</v>
      </c>
      <c r="AE17" t="s">
        <v>63</v>
      </c>
      <c r="AF17" t="s">
        <v>72</v>
      </c>
      <c r="AG17">
        <v>5</v>
      </c>
      <c r="AH17">
        <v>5</v>
      </c>
      <c r="AJ17" s="2">
        <v>45824</v>
      </c>
      <c r="AK17" t="s">
        <v>212</v>
      </c>
      <c r="AL17" t="s">
        <v>72</v>
      </c>
      <c r="AM17" t="s">
        <v>63</v>
      </c>
      <c r="AN17" t="s">
        <v>72</v>
      </c>
      <c r="AO17">
        <v>5</v>
      </c>
      <c r="AP17">
        <v>5</v>
      </c>
      <c r="AS17" t="s">
        <v>73</v>
      </c>
      <c r="AT17" t="s">
        <v>72</v>
      </c>
      <c r="AU17" t="s">
        <v>72</v>
      </c>
      <c r="AV17" t="s">
        <v>72</v>
      </c>
      <c r="AY17">
        <v>5</v>
      </c>
    </row>
    <row r="18" spans="1:53" x14ac:dyDescent="0.2">
      <c r="A18" t="s">
        <v>238</v>
      </c>
      <c r="B18" t="s">
        <v>239</v>
      </c>
      <c r="C18" t="s">
        <v>240</v>
      </c>
      <c r="D18" t="s">
        <v>241</v>
      </c>
      <c r="E18" t="s">
        <v>242</v>
      </c>
      <c r="F18" t="s">
        <v>243</v>
      </c>
      <c r="G18" t="s">
        <v>244</v>
      </c>
      <c r="H18" t="s">
        <v>245</v>
      </c>
      <c r="I18" t="s">
        <v>246</v>
      </c>
      <c r="J18" t="s">
        <v>247</v>
      </c>
      <c r="K18" t="s">
        <v>63</v>
      </c>
      <c r="L18" t="s">
        <v>248</v>
      </c>
      <c r="M18" t="s">
        <v>249</v>
      </c>
      <c r="N18" t="s">
        <v>66</v>
      </c>
      <c r="O18" t="s">
        <v>250</v>
      </c>
      <c r="Q18">
        <v>2.5</v>
      </c>
      <c r="R18">
        <v>5</v>
      </c>
      <c r="S18" t="s">
        <v>251</v>
      </c>
      <c r="T18" s="2">
        <v>45683</v>
      </c>
      <c r="U18" t="s">
        <v>69</v>
      </c>
      <c r="V18" t="s">
        <v>72</v>
      </c>
      <c r="W18" t="s">
        <v>63</v>
      </c>
      <c r="X18" t="s">
        <v>63</v>
      </c>
      <c r="Y18">
        <v>4</v>
      </c>
      <c r="Z18">
        <v>5</v>
      </c>
      <c r="AA18" t="s">
        <v>252</v>
      </c>
      <c r="AB18" s="2">
        <v>45768</v>
      </c>
      <c r="AC18" t="s">
        <v>69</v>
      </c>
      <c r="AD18" t="s">
        <v>72</v>
      </c>
      <c r="AE18" t="s">
        <v>63</v>
      </c>
      <c r="AF18" t="s">
        <v>72</v>
      </c>
      <c r="AG18">
        <v>5</v>
      </c>
      <c r="AH18">
        <v>5</v>
      </c>
      <c r="AJ18" s="2">
        <v>45825</v>
      </c>
      <c r="AK18" t="s">
        <v>212</v>
      </c>
      <c r="AL18" t="s">
        <v>72</v>
      </c>
      <c r="AM18" t="s">
        <v>63</v>
      </c>
      <c r="AN18" t="s">
        <v>72</v>
      </c>
      <c r="AO18">
        <v>5</v>
      </c>
      <c r="AP18">
        <v>5</v>
      </c>
      <c r="AS18" t="s">
        <v>73</v>
      </c>
      <c r="AT18" t="s">
        <v>72</v>
      </c>
      <c r="AU18" t="s">
        <v>72</v>
      </c>
      <c r="AV18" t="s">
        <v>72</v>
      </c>
      <c r="AW18" t="s">
        <v>248</v>
      </c>
      <c r="AX18" s="3">
        <v>46265</v>
      </c>
      <c r="AY18">
        <v>5</v>
      </c>
      <c r="AZ18" t="s">
        <v>253</v>
      </c>
    </row>
    <row r="19" spans="1:53" x14ac:dyDescent="0.2">
      <c r="A19" t="s">
        <v>254</v>
      </c>
      <c r="B19" t="s">
        <v>239</v>
      </c>
      <c r="C19" t="s">
        <v>240</v>
      </c>
      <c r="D19" t="s">
        <v>241</v>
      </c>
      <c r="E19" t="s">
        <v>242</v>
      </c>
      <c r="F19" t="s">
        <v>243</v>
      </c>
      <c r="G19" t="s">
        <v>255</v>
      </c>
      <c r="H19" t="s">
        <v>256</v>
      </c>
      <c r="I19" t="s">
        <v>257</v>
      </c>
      <c r="J19" t="s">
        <v>258</v>
      </c>
      <c r="K19" t="s">
        <v>63</v>
      </c>
      <c r="L19" t="s">
        <v>248</v>
      </c>
      <c r="M19" t="s">
        <v>259</v>
      </c>
      <c r="N19" t="s">
        <v>66</v>
      </c>
      <c r="O19" t="s">
        <v>260</v>
      </c>
      <c r="P19" t="s">
        <v>261</v>
      </c>
      <c r="Q19">
        <v>2</v>
      </c>
      <c r="R19">
        <v>5</v>
      </c>
      <c r="S19" t="s">
        <v>262</v>
      </c>
      <c r="T19" s="2">
        <v>45684</v>
      </c>
      <c r="U19" t="s">
        <v>69</v>
      </c>
      <c r="V19" t="s">
        <v>63</v>
      </c>
      <c r="W19" t="s">
        <v>63</v>
      </c>
      <c r="X19" t="s">
        <v>63</v>
      </c>
      <c r="Y19">
        <v>4</v>
      </c>
      <c r="Z19">
        <v>5</v>
      </c>
      <c r="AA19" t="s">
        <v>263</v>
      </c>
      <c r="AB19" s="2">
        <v>45769</v>
      </c>
      <c r="AC19" t="s">
        <v>69</v>
      </c>
      <c r="AD19" t="s">
        <v>63</v>
      </c>
      <c r="AE19" t="s">
        <v>63</v>
      </c>
      <c r="AF19" t="s">
        <v>72</v>
      </c>
      <c r="AG19">
        <v>6</v>
      </c>
      <c r="AH19">
        <v>5</v>
      </c>
      <c r="AJ19" s="2">
        <v>45826</v>
      </c>
      <c r="AK19" t="s">
        <v>212</v>
      </c>
      <c r="AL19" t="s">
        <v>72</v>
      </c>
      <c r="AM19" t="s">
        <v>63</v>
      </c>
      <c r="AN19" t="s">
        <v>72</v>
      </c>
      <c r="AO19">
        <v>6</v>
      </c>
      <c r="AP19">
        <v>5</v>
      </c>
      <c r="AS19" t="s">
        <v>73</v>
      </c>
      <c r="AT19" t="s">
        <v>72</v>
      </c>
      <c r="AU19" t="s">
        <v>72</v>
      </c>
      <c r="AV19" t="s">
        <v>72</v>
      </c>
      <c r="AW19" t="s">
        <v>248</v>
      </c>
      <c r="AX19" s="3">
        <v>46326</v>
      </c>
      <c r="AY19">
        <v>5</v>
      </c>
      <c r="AZ19" t="s">
        <v>264</v>
      </c>
    </row>
    <row r="20" spans="1:53" x14ac:dyDescent="0.2">
      <c r="A20" t="s">
        <v>265</v>
      </c>
      <c r="B20" t="s">
        <v>239</v>
      </c>
      <c r="C20" t="s">
        <v>240</v>
      </c>
      <c r="D20" t="s">
        <v>266</v>
      </c>
      <c r="E20" t="s">
        <v>267</v>
      </c>
      <c r="F20" t="s">
        <v>268</v>
      </c>
      <c r="G20" t="s">
        <v>269</v>
      </c>
      <c r="H20" t="s">
        <v>270</v>
      </c>
      <c r="I20" t="s">
        <v>271</v>
      </c>
      <c r="J20" t="s">
        <v>272</v>
      </c>
      <c r="K20" t="s">
        <v>63</v>
      </c>
      <c r="L20" t="s">
        <v>273</v>
      </c>
      <c r="M20" t="s">
        <v>65</v>
      </c>
      <c r="N20" t="s">
        <v>66</v>
      </c>
      <c r="O20" t="s">
        <v>274</v>
      </c>
      <c r="P20" t="s">
        <v>275</v>
      </c>
      <c r="Q20">
        <v>2</v>
      </c>
      <c r="R20">
        <v>5</v>
      </c>
      <c r="S20" t="s">
        <v>276</v>
      </c>
      <c r="T20" s="2">
        <v>45685</v>
      </c>
      <c r="U20" t="s">
        <v>69</v>
      </c>
      <c r="V20" t="s">
        <v>72</v>
      </c>
      <c r="W20" t="s">
        <v>63</v>
      </c>
      <c r="X20" t="s">
        <v>63</v>
      </c>
      <c r="Y20">
        <v>4</v>
      </c>
      <c r="Z20">
        <v>5</v>
      </c>
      <c r="AA20" t="s">
        <v>277</v>
      </c>
      <c r="AB20" s="2">
        <v>45770</v>
      </c>
      <c r="AC20" t="s">
        <v>69</v>
      </c>
      <c r="AD20" t="s">
        <v>63</v>
      </c>
      <c r="AE20" t="s">
        <v>63</v>
      </c>
      <c r="AF20" t="s">
        <v>63</v>
      </c>
      <c r="AG20">
        <v>4</v>
      </c>
      <c r="AH20">
        <v>5</v>
      </c>
      <c r="AJ20" s="2">
        <v>45827</v>
      </c>
      <c r="AK20" t="s">
        <v>212</v>
      </c>
      <c r="AL20" t="s">
        <v>72</v>
      </c>
      <c r="AM20" t="s">
        <v>63</v>
      </c>
      <c r="AN20" t="s">
        <v>72</v>
      </c>
      <c r="AO20">
        <v>4</v>
      </c>
      <c r="AP20">
        <v>5</v>
      </c>
      <c r="AS20" t="s">
        <v>73</v>
      </c>
      <c r="AT20" t="s">
        <v>72</v>
      </c>
      <c r="AU20" t="s">
        <v>72</v>
      </c>
      <c r="AV20" t="s">
        <v>72</v>
      </c>
      <c r="AW20" t="s">
        <v>273</v>
      </c>
      <c r="AX20" s="3">
        <v>46265</v>
      </c>
      <c r="AY20">
        <v>5</v>
      </c>
      <c r="AZ20" t="s">
        <v>278</v>
      </c>
      <c r="BA20" t="s">
        <v>279</v>
      </c>
    </row>
    <row r="21" spans="1:53" x14ac:dyDescent="0.2">
      <c r="A21" t="s">
        <v>280</v>
      </c>
      <c r="B21" t="s">
        <v>183</v>
      </c>
      <c r="C21" t="s">
        <v>184</v>
      </c>
      <c r="D21" t="s">
        <v>185</v>
      </c>
      <c r="E21" t="s">
        <v>186</v>
      </c>
      <c r="F21" t="s">
        <v>187</v>
      </c>
      <c r="G21" t="s">
        <v>281</v>
      </c>
      <c r="H21" t="s">
        <v>282</v>
      </c>
      <c r="I21" t="s">
        <v>283</v>
      </c>
      <c r="J21" t="s">
        <v>284</v>
      </c>
      <c r="K21" t="s">
        <v>63</v>
      </c>
      <c r="L21" t="s">
        <v>64</v>
      </c>
      <c r="M21" t="s">
        <v>65</v>
      </c>
      <c r="N21" t="s">
        <v>66</v>
      </c>
      <c r="O21" t="s">
        <v>285</v>
      </c>
      <c r="P21" t="s">
        <v>286</v>
      </c>
      <c r="Q21">
        <v>3</v>
      </c>
      <c r="R21">
        <v>5</v>
      </c>
      <c r="S21" t="s">
        <v>287</v>
      </c>
      <c r="T21" s="2">
        <v>45686</v>
      </c>
      <c r="U21" t="s">
        <v>69</v>
      </c>
      <c r="V21" t="s">
        <v>63</v>
      </c>
      <c r="W21" t="s">
        <v>63</v>
      </c>
      <c r="X21" t="s">
        <v>63</v>
      </c>
      <c r="Y21">
        <v>5</v>
      </c>
      <c r="Z21">
        <v>5</v>
      </c>
      <c r="AA21" t="s">
        <v>288</v>
      </c>
      <c r="AB21" s="2">
        <v>45771</v>
      </c>
      <c r="AC21" t="s">
        <v>69</v>
      </c>
      <c r="AD21" t="s">
        <v>72</v>
      </c>
      <c r="AE21" t="s">
        <v>63</v>
      </c>
      <c r="AF21" t="s">
        <v>63</v>
      </c>
      <c r="AG21">
        <v>5</v>
      </c>
      <c r="AH21">
        <v>5</v>
      </c>
      <c r="AJ21" s="2">
        <v>45828</v>
      </c>
      <c r="AK21" t="s">
        <v>212</v>
      </c>
      <c r="AL21" t="s">
        <v>72</v>
      </c>
      <c r="AM21" t="s">
        <v>63</v>
      </c>
      <c r="AN21" t="s">
        <v>72</v>
      </c>
      <c r="AO21">
        <v>5</v>
      </c>
      <c r="AP21">
        <v>5</v>
      </c>
      <c r="AS21" t="s">
        <v>73</v>
      </c>
      <c r="AT21" t="s">
        <v>72</v>
      </c>
      <c r="AU21" t="s">
        <v>72</v>
      </c>
      <c r="AV21" t="s">
        <v>72</v>
      </c>
      <c r="AY21">
        <v>5</v>
      </c>
    </row>
    <row r="22" spans="1:53" x14ac:dyDescent="0.2">
      <c r="A22" t="s">
        <v>289</v>
      </c>
      <c r="B22" t="s">
        <v>199</v>
      </c>
      <c r="C22" t="s">
        <v>200</v>
      </c>
      <c r="D22" t="s">
        <v>290</v>
      </c>
      <c r="E22" t="s">
        <v>291</v>
      </c>
      <c r="F22" t="s">
        <v>292</v>
      </c>
      <c r="G22" t="s">
        <v>293</v>
      </c>
      <c r="H22" t="s">
        <v>294</v>
      </c>
      <c r="I22" t="s">
        <v>295</v>
      </c>
      <c r="J22" t="s">
        <v>296</v>
      </c>
      <c r="K22" t="s">
        <v>63</v>
      </c>
      <c r="L22" t="s">
        <v>192</v>
      </c>
      <c r="M22" t="s">
        <v>65</v>
      </c>
      <c r="N22" t="s">
        <v>66</v>
      </c>
      <c r="O22" t="s">
        <v>297</v>
      </c>
      <c r="P22" t="s">
        <v>298</v>
      </c>
      <c r="Q22">
        <v>3</v>
      </c>
      <c r="R22">
        <v>5</v>
      </c>
      <c r="S22" t="s">
        <v>299</v>
      </c>
      <c r="T22" s="2">
        <v>45687</v>
      </c>
      <c r="U22" t="s">
        <v>69</v>
      </c>
      <c r="V22" t="s">
        <v>63</v>
      </c>
      <c r="W22" t="s">
        <v>63</v>
      </c>
      <c r="X22" t="s">
        <v>72</v>
      </c>
      <c r="Y22">
        <v>4</v>
      </c>
      <c r="Z22">
        <v>5</v>
      </c>
      <c r="AA22" t="s">
        <v>300</v>
      </c>
      <c r="AB22" s="2">
        <v>45772</v>
      </c>
      <c r="AC22" t="s">
        <v>69</v>
      </c>
      <c r="AD22" t="s">
        <v>63</v>
      </c>
      <c r="AE22" t="s">
        <v>63</v>
      </c>
      <c r="AF22" t="s">
        <v>63</v>
      </c>
      <c r="AG22">
        <v>6</v>
      </c>
      <c r="AH22">
        <v>5</v>
      </c>
      <c r="AJ22" s="2">
        <v>45829</v>
      </c>
      <c r="AK22" t="s">
        <v>212</v>
      </c>
      <c r="AL22" t="s">
        <v>72</v>
      </c>
      <c r="AM22" t="s">
        <v>63</v>
      </c>
      <c r="AN22" t="s">
        <v>72</v>
      </c>
      <c r="AO22">
        <v>6</v>
      </c>
      <c r="AP22">
        <v>5</v>
      </c>
      <c r="AS22" t="s">
        <v>73</v>
      </c>
      <c r="AT22" t="s">
        <v>72</v>
      </c>
      <c r="AU22" t="s">
        <v>72</v>
      </c>
      <c r="AV22" t="s">
        <v>72</v>
      </c>
      <c r="AW22" t="s">
        <v>192</v>
      </c>
      <c r="AX22" s="3">
        <v>46295</v>
      </c>
      <c r="AY22">
        <v>5</v>
      </c>
      <c r="AZ22" t="s">
        <v>301</v>
      </c>
    </row>
    <row r="23" spans="1:53" x14ac:dyDescent="0.2">
      <c r="A23" t="s">
        <v>302</v>
      </c>
      <c r="B23" t="s">
        <v>199</v>
      </c>
      <c r="C23" t="s">
        <v>200</v>
      </c>
      <c r="D23" t="s">
        <v>214</v>
      </c>
      <c r="E23" t="s">
        <v>215</v>
      </c>
      <c r="F23" t="s">
        <v>216</v>
      </c>
      <c r="G23" t="s">
        <v>303</v>
      </c>
      <c r="H23" t="s">
        <v>304</v>
      </c>
      <c r="I23" t="s">
        <v>305</v>
      </c>
      <c r="J23" t="s">
        <v>306</v>
      </c>
      <c r="K23" t="s">
        <v>63</v>
      </c>
      <c r="L23" t="s">
        <v>273</v>
      </c>
      <c r="M23" t="s">
        <v>65</v>
      </c>
      <c r="N23" t="s">
        <v>66</v>
      </c>
      <c r="O23" t="s">
        <v>307</v>
      </c>
      <c r="P23" t="s">
        <v>308</v>
      </c>
      <c r="Q23">
        <v>3</v>
      </c>
      <c r="R23">
        <v>5</v>
      </c>
      <c r="S23" t="s">
        <v>309</v>
      </c>
      <c r="T23" s="2">
        <v>45688</v>
      </c>
      <c r="U23" t="s">
        <v>69</v>
      </c>
      <c r="V23" t="s">
        <v>72</v>
      </c>
      <c r="W23" t="s">
        <v>63</v>
      </c>
      <c r="X23" t="s">
        <v>63</v>
      </c>
      <c r="Y23">
        <v>4</v>
      </c>
      <c r="Z23">
        <v>5</v>
      </c>
      <c r="AA23" t="s">
        <v>310</v>
      </c>
      <c r="AB23" s="2">
        <v>45773</v>
      </c>
      <c r="AC23" t="s">
        <v>69</v>
      </c>
      <c r="AD23" t="s">
        <v>63</v>
      </c>
      <c r="AE23" t="s">
        <v>63</v>
      </c>
      <c r="AF23" t="s">
        <v>63</v>
      </c>
      <c r="AG23">
        <v>4</v>
      </c>
      <c r="AH23">
        <v>5</v>
      </c>
      <c r="AJ23" s="2">
        <v>45830</v>
      </c>
      <c r="AK23" t="s">
        <v>212</v>
      </c>
      <c r="AL23" t="s">
        <v>72</v>
      </c>
      <c r="AM23" t="s">
        <v>63</v>
      </c>
      <c r="AN23" t="s">
        <v>72</v>
      </c>
      <c r="AO23">
        <v>4</v>
      </c>
      <c r="AP23">
        <v>5</v>
      </c>
      <c r="AS23" t="s">
        <v>73</v>
      </c>
      <c r="AT23" t="s">
        <v>72</v>
      </c>
      <c r="AU23" t="s">
        <v>72</v>
      </c>
      <c r="AV23" t="s">
        <v>72</v>
      </c>
      <c r="AW23" t="s">
        <v>273</v>
      </c>
      <c r="AX23" s="3">
        <v>46295</v>
      </c>
      <c r="AY23">
        <v>5</v>
      </c>
      <c r="AZ23" t="s">
        <v>311</v>
      </c>
    </row>
    <row r="24" spans="1:53" x14ac:dyDescent="0.2">
      <c r="A24" t="s">
        <v>312</v>
      </c>
      <c r="B24" t="s">
        <v>199</v>
      </c>
      <c r="C24" t="s">
        <v>200</v>
      </c>
      <c r="D24" t="s">
        <v>313</v>
      </c>
      <c r="E24" t="s">
        <v>314</v>
      </c>
      <c r="F24" t="s">
        <v>315</v>
      </c>
      <c r="G24" t="s">
        <v>316</v>
      </c>
      <c r="H24" t="s">
        <v>317</v>
      </c>
      <c r="I24" t="s">
        <v>318</v>
      </c>
      <c r="J24" t="s">
        <v>319</v>
      </c>
      <c r="K24" t="s">
        <v>63</v>
      </c>
      <c r="L24" t="s">
        <v>192</v>
      </c>
      <c r="M24" t="s">
        <v>65</v>
      </c>
      <c r="N24" t="s">
        <v>66</v>
      </c>
      <c r="O24" t="s">
        <v>320</v>
      </c>
      <c r="P24" t="s">
        <v>321</v>
      </c>
      <c r="Q24">
        <v>3</v>
      </c>
      <c r="R24">
        <v>5</v>
      </c>
      <c r="S24" t="s">
        <v>322</v>
      </c>
      <c r="T24" s="2">
        <v>45689</v>
      </c>
      <c r="U24" t="s">
        <v>69</v>
      </c>
      <c r="V24" t="s">
        <v>63</v>
      </c>
      <c r="W24" t="s">
        <v>63</v>
      </c>
      <c r="X24" t="s">
        <v>63</v>
      </c>
      <c r="Y24">
        <v>4</v>
      </c>
      <c r="Z24">
        <v>5</v>
      </c>
      <c r="AA24" t="s">
        <v>323</v>
      </c>
      <c r="AB24" s="2">
        <v>45774</v>
      </c>
      <c r="AC24" t="s">
        <v>69</v>
      </c>
      <c r="AD24" t="s">
        <v>63</v>
      </c>
      <c r="AE24" t="s">
        <v>63</v>
      </c>
      <c r="AF24" t="s">
        <v>63</v>
      </c>
      <c r="AG24">
        <v>6</v>
      </c>
      <c r="AH24">
        <v>5</v>
      </c>
      <c r="AJ24" s="2">
        <v>45831</v>
      </c>
      <c r="AK24" t="s">
        <v>212</v>
      </c>
      <c r="AL24" t="s">
        <v>72</v>
      </c>
      <c r="AM24" t="s">
        <v>63</v>
      </c>
      <c r="AN24" t="s">
        <v>72</v>
      </c>
      <c r="AO24">
        <v>6</v>
      </c>
      <c r="AP24">
        <v>5</v>
      </c>
      <c r="AS24" t="s">
        <v>73</v>
      </c>
      <c r="AT24" t="s">
        <v>72</v>
      </c>
      <c r="AU24" t="s">
        <v>72</v>
      </c>
      <c r="AV24" t="s">
        <v>72</v>
      </c>
      <c r="AW24" t="s">
        <v>192</v>
      </c>
      <c r="AX24" s="3">
        <v>46265</v>
      </c>
      <c r="AY24">
        <v>5</v>
      </c>
      <c r="AZ24" t="s">
        <v>324</v>
      </c>
    </row>
    <row r="25" spans="1:53" x14ac:dyDescent="0.2">
      <c r="A25" t="s">
        <v>325</v>
      </c>
      <c r="B25" t="s">
        <v>199</v>
      </c>
      <c r="C25" t="s">
        <v>200</v>
      </c>
      <c r="D25" t="s">
        <v>313</v>
      </c>
      <c r="E25" t="s">
        <v>314</v>
      </c>
      <c r="F25" t="s">
        <v>315</v>
      </c>
      <c r="G25" t="s">
        <v>326</v>
      </c>
      <c r="H25" t="s">
        <v>327</v>
      </c>
      <c r="I25" t="s">
        <v>328</v>
      </c>
      <c r="J25" t="s">
        <v>329</v>
      </c>
      <c r="K25" t="s">
        <v>63</v>
      </c>
      <c r="L25" t="s">
        <v>273</v>
      </c>
      <c r="M25" t="s">
        <v>65</v>
      </c>
      <c r="N25" t="s">
        <v>66</v>
      </c>
      <c r="O25" t="s">
        <v>330</v>
      </c>
      <c r="P25" t="s">
        <v>331</v>
      </c>
      <c r="Q25">
        <v>2</v>
      </c>
      <c r="R25">
        <v>5</v>
      </c>
      <c r="S25" t="s">
        <v>332</v>
      </c>
      <c r="T25" s="2">
        <v>45690</v>
      </c>
      <c r="U25" t="s">
        <v>69</v>
      </c>
      <c r="V25" t="s">
        <v>72</v>
      </c>
      <c r="W25" t="s">
        <v>63</v>
      </c>
      <c r="X25" t="s">
        <v>63</v>
      </c>
      <c r="Y25">
        <v>4</v>
      </c>
      <c r="Z25">
        <v>5</v>
      </c>
      <c r="AA25" t="s">
        <v>333</v>
      </c>
      <c r="AB25" s="2">
        <v>45775</v>
      </c>
      <c r="AC25" t="s">
        <v>69</v>
      </c>
      <c r="AD25" t="s">
        <v>63</v>
      </c>
      <c r="AE25" t="s">
        <v>63</v>
      </c>
      <c r="AF25" t="s">
        <v>63</v>
      </c>
      <c r="AG25">
        <v>7</v>
      </c>
      <c r="AH25">
        <v>5</v>
      </c>
      <c r="AJ25" s="2">
        <v>45832</v>
      </c>
      <c r="AK25" t="s">
        <v>212</v>
      </c>
      <c r="AL25" t="s">
        <v>72</v>
      </c>
      <c r="AM25" t="s">
        <v>63</v>
      </c>
      <c r="AN25" t="s">
        <v>72</v>
      </c>
      <c r="AO25">
        <v>7</v>
      </c>
      <c r="AP25">
        <v>5</v>
      </c>
      <c r="AS25" t="s">
        <v>73</v>
      </c>
      <c r="AT25" t="s">
        <v>72</v>
      </c>
      <c r="AU25" t="s">
        <v>72</v>
      </c>
      <c r="AV25" t="s">
        <v>72</v>
      </c>
      <c r="AW25" t="s">
        <v>273</v>
      </c>
      <c r="AX25" s="3">
        <v>46249</v>
      </c>
      <c r="AY25">
        <v>5</v>
      </c>
      <c r="AZ25" t="s">
        <v>334</v>
      </c>
    </row>
    <row r="26" spans="1:53" x14ac:dyDescent="0.2">
      <c r="A26" t="s">
        <v>335</v>
      </c>
      <c r="B26" t="s">
        <v>336</v>
      </c>
      <c r="C26" t="s">
        <v>337</v>
      </c>
      <c r="D26" t="s">
        <v>338</v>
      </c>
      <c r="E26" t="s">
        <v>339</v>
      </c>
      <c r="F26" t="s">
        <v>340</v>
      </c>
      <c r="G26" t="s">
        <v>341</v>
      </c>
      <c r="H26" t="s">
        <v>342</v>
      </c>
      <c r="I26" t="s">
        <v>343</v>
      </c>
      <c r="J26" t="s">
        <v>344</v>
      </c>
      <c r="K26" t="s">
        <v>63</v>
      </c>
      <c r="L26" t="s">
        <v>248</v>
      </c>
      <c r="M26" t="s">
        <v>65</v>
      </c>
      <c r="N26" t="s">
        <v>66</v>
      </c>
      <c r="O26" t="s">
        <v>345</v>
      </c>
      <c r="P26" t="s">
        <v>346</v>
      </c>
      <c r="Q26">
        <v>2</v>
      </c>
      <c r="R26">
        <v>5</v>
      </c>
      <c r="S26" t="s">
        <v>347</v>
      </c>
      <c r="T26" s="2">
        <v>45691</v>
      </c>
      <c r="U26" t="s">
        <v>69</v>
      </c>
      <c r="V26" t="s">
        <v>63</v>
      </c>
      <c r="W26" t="s">
        <v>63</v>
      </c>
      <c r="X26" t="s">
        <v>72</v>
      </c>
      <c r="Y26">
        <v>3</v>
      </c>
      <c r="Z26">
        <v>5</v>
      </c>
      <c r="AA26" t="s">
        <v>348</v>
      </c>
      <c r="AB26" s="2">
        <v>45776</v>
      </c>
      <c r="AC26" t="s">
        <v>69</v>
      </c>
      <c r="AD26" t="s">
        <v>72</v>
      </c>
      <c r="AE26" t="s">
        <v>63</v>
      </c>
      <c r="AF26" t="s">
        <v>63</v>
      </c>
      <c r="AG26">
        <v>5.5</v>
      </c>
      <c r="AH26">
        <v>5</v>
      </c>
      <c r="AJ26" s="2">
        <v>45833</v>
      </c>
      <c r="AK26" t="s">
        <v>212</v>
      </c>
      <c r="AL26" t="s">
        <v>72</v>
      </c>
      <c r="AM26" t="s">
        <v>63</v>
      </c>
      <c r="AN26" t="s">
        <v>72</v>
      </c>
      <c r="AO26">
        <v>5.5</v>
      </c>
      <c r="AP26">
        <v>5</v>
      </c>
      <c r="AS26" t="s">
        <v>73</v>
      </c>
      <c r="AT26" t="s">
        <v>72</v>
      </c>
      <c r="AU26" t="s">
        <v>72</v>
      </c>
      <c r="AV26" t="s">
        <v>72</v>
      </c>
      <c r="AW26" t="s">
        <v>248</v>
      </c>
      <c r="AX26" s="3">
        <v>46326</v>
      </c>
      <c r="AY26">
        <v>5</v>
      </c>
      <c r="AZ26" t="s">
        <v>349</v>
      </c>
    </row>
    <row r="27" spans="1:53" x14ac:dyDescent="0.2">
      <c r="A27" t="s">
        <v>350</v>
      </c>
      <c r="B27" t="s">
        <v>225</v>
      </c>
      <c r="C27" t="s">
        <v>226</v>
      </c>
      <c r="D27" t="s">
        <v>227</v>
      </c>
      <c r="E27" t="s">
        <v>228</v>
      </c>
      <c r="F27" t="s">
        <v>229</v>
      </c>
      <c r="G27" t="s">
        <v>351</v>
      </c>
      <c r="H27" t="s">
        <v>352</v>
      </c>
      <c r="I27" t="s">
        <v>353</v>
      </c>
      <c r="J27" t="s">
        <v>354</v>
      </c>
      <c r="K27" t="s">
        <v>63</v>
      </c>
      <c r="L27" t="s">
        <v>248</v>
      </c>
      <c r="M27" t="s">
        <v>65</v>
      </c>
      <c r="N27" t="s">
        <v>66</v>
      </c>
      <c r="O27" t="s">
        <v>234</v>
      </c>
      <c r="P27" t="s">
        <v>355</v>
      </c>
      <c r="Q27">
        <v>2</v>
      </c>
      <c r="R27">
        <v>5</v>
      </c>
      <c r="S27" t="s">
        <v>356</v>
      </c>
      <c r="T27" s="2">
        <v>45692</v>
      </c>
      <c r="U27" t="s">
        <v>69</v>
      </c>
      <c r="V27" t="s">
        <v>63</v>
      </c>
      <c r="W27" t="s">
        <v>63</v>
      </c>
      <c r="X27" t="s">
        <v>63</v>
      </c>
      <c r="Y27">
        <v>3</v>
      </c>
      <c r="Z27">
        <v>5</v>
      </c>
      <c r="AA27" t="s">
        <v>357</v>
      </c>
      <c r="AB27" s="2">
        <v>45777</v>
      </c>
      <c r="AC27" t="s">
        <v>69</v>
      </c>
      <c r="AD27" t="s">
        <v>63</v>
      </c>
      <c r="AE27" t="s">
        <v>63</v>
      </c>
      <c r="AF27" t="s">
        <v>63</v>
      </c>
      <c r="AG27">
        <v>4</v>
      </c>
      <c r="AH27">
        <v>5</v>
      </c>
      <c r="AJ27" s="2">
        <v>45834</v>
      </c>
      <c r="AK27" t="s">
        <v>212</v>
      </c>
      <c r="AL27" t="s">
        <v>72</v>
      </c>
      <c r="AM27" t="s">
        <v>63</v>
      </c>
      <c r="AN27" t="s">
        <v>72</v>
      </c>
      <c r="AO27">
        <v>4</v>
      </c>
      <c r="AP27">
        <v>5</v>
      </c>
      <c r="AS27" t="s">
        <v>73</v>
      </c>
      <c r="AT27" t="s">
        <v>72</v>
      </c>
      <c r="AU27" t="s">
        <v>72</v>
      </c>
      <c r="AV27" t="s">
        <v>72</v>
      </c>
      <c r="AW27" t="s">
        <v>248</v>
      </c>
      <c r="AX27" s="3">
        <v>46295</v>
      </c>
      <c r="AY27">
        <v>5</v>
      </c>
      <c r="AZ27" t="s">
        <v>358</v>
      </c>
    </row>
    <row r="28" spans="1:53" x14ac:dyDescent="0.2">
      <c r="A28" t="s">
        <v>359</v>
      </c>
      <c r="B28" t="s">
        <v>239</v>
      </c>
      <c r="C28" t="s">
        <v>240</v>
      </c>
      <c r="D28" t="s">
        <v>241</v>
      </c>
      <c r="E28" t="s">
        <v>242</v>
      </c>
      <c r="F28" t="s">
        <v>243</v>
      </c>
      <c r="G28" t="s">
        <v>360</v>
      </c>
      <c r="H28" t="s">
        <v>361</v>
      </c>
      <c r="I28" t="s">
        <v>362</v>
      </c>
      <c r="J28" t="s">
        <v>363</v>
      </c>
      <c r="K28" t="s">
        <v>63</v>
      </c>
      <c r="L28" t="s">
        <v>248</v>
      </c>
      <c r="M28" t="s">
        <v>259</v>
      </c>
      <c r="N28" t="s">
        <v>66</v>
      </c>
      <c r="O28" t="s">
        <v>364</v>
      </c>
      <c r="Q28">
        <v>2</v>
      </c>
      <c r="R28">
        <v>5</v>
      </c>
      <c r="S28" t="s">
        <v>365</v>
      </c>
      <c r="T28" s="2">
        <v>45693</v>
      </c>
      <c r="U28" t="s">
        <v>69</v>
      </c>
      <c r="V28" t="s">
        <v>72</v>
      </c>
      <c r="W28" t="s">
        <v>63</v>
      </c>
      <c r="X28" t="s">
        <v>63</v>
      </c>
      <c r="Y28">
        <v>3</v>
      </c>
      <c r="Z28">
        <v>5</v>
      </c>
      <c r="AA28" t="s">
        <v>366</v>
      </c>
      <c r="AB28" s="2">
        <v>45778</v>
      </c>
      <c r="AC28" t="s">
        <v>69</v>
      </c>
      <c r="AD28" t="s">
        <v>63</v>
      </c>
      <c r="AE28" t="s">
        <v>63</v>
      </c>
      <c r="AF28" t="s">
        <v>63</v>
      </c>
      <c r="AG28">
        <v>3</v>
      </c>
      <c r="AH28">
        <v>5</v>
      </c>
      <c r="AK28" t="s">
        <v>73</v>
      </c>
      <c r="AL28" t="s">
        <v>72</v>
      </c>
      <c r="AM28" t="s">
        <v>72</v>
      </c>
      <c r="AN28" t="s">
        <v>72</v>
      </c>
      <c r="AO28">
        <v>3</v>
      </c>
      <c r="AP28">
        <v>5</v>
      </c>
      <c r="AS28" t="s">
        <v>73</v>
      </c>
      <c r="AT28" t="s">
        <v>72</v>
      </c>
      <c r="AU28" t="s">
        <v>72</v>
      </c>
      <c r="AV28" t="s">
        <v>72</v>
      </c>
      <c r="AW28" t="s">
        <v>248</v>
      </c>
      <c r="AX28" s="3">
        <v>46326</v>
      </c>
      <c r="AY28">
        <v>5</v>
      </c>
      <c r="AZ28" t="s">
        <v>367</v>
      </c>
    </row>
    <row r="29" spans="1:53" x14ac:dyDescent="0.2">
      <c r="A29" t="s">
        <v>368</v>
      </c>
      <c r="B29" t="s">
        <v>239</v>
      </c>
      <c r="C29" t="s">
        <v>240</v>
      </c>
      <c r="D29" t="s">
        <v>266</v>
      </c>
      <c r="E29" t="s">
        <v>267</v>
      </c>
      <c r="F29" t="s">
        <v>268</v>
      </c>
      <c r="G29" t="s">
        <v>369</v>
      </c>
      <c r="H29" t="s">
        <v>370</v>
      </c>
      <c r="I29" t="s">
        <v>371</v>
      </c>
      <c r="J29" t="s">
        <v>372</v>
      </c>
      <c r="K29" t="s">
        <v>63</v>
      </c>
      <c r="L29" t="s">
        <v>248</v>
      </c>
      <c r="M29" t="s">
        <v>65</v>
      </c>
      <c r="N29" t="s">
        <v>66</v>
      </c>
      <c r="O29" t="s">
        <v>373</v>
      </c>
      <c r="P29" t="s">
        <v>374</v>
      </c>
      <c r="Q29">
        <v>2</v>
      </c>
      <c r="R29">
        <v>5</v>
      </c>
      <c r="S29" t="s">
        <v>375</v>
      </c>
      <c r="T29" s="2">
        <v>45694</v>
      </c>
      <c r="U29" t="s">
        <v>69</v>
      </c>
      <c r="V29" t="s">
        <v>72</v>
      </c>
      <c r="W29" t="s">
        <v>63</v>
      </c>
      <c r="X29" t="s">
        <v>63</v>
      </c>
      <c r="Y29">
        <v>3</v>
      </c>
      <c r="Z29">
        <v>5</v>
      </c>
      <c r="AA29" t="s">
        <v>376</v>
      </c>
      <c r="AB29" s="2">
        <v>45779</v>
      </c>
      <c r="AC29" t="s">
        <v>69</v>
      </c>
      <c r="AD29" t="s">
        <v>72</v>
      </c>
      <c r="AE29" t="s">
        <v>63</v>
      </c>
      <c r="AF29" t="s">
        <v>63</v>
      </c>
      <c r="AG29">
        <v>3</v>
      </c>
      <c r="AH29">
        <v>5</v>
      </c>
      <c r="AK29" t="s">
        <v>73</v>
      </c>
      <c r="AL29" t="s">
        <v>72</v>
      </c>
      <c r="AM29" t="s">
        <v>72</v>
      </c>
      <c r="AN29" t="s">
        <v>72</v>
      </c>
      <c r="AO29">
        <v>3</v>
      </c>
      <c r="AP29">
        <v>5</v>
      </c>
      <c r="AS29" t="s">
        <v>73</v>
      </c>
      <c r="AT29" t="s">
        <v>72</v>
      </c>
      <c r="AU29" t="s">
        <v>72</v>
      </c>
      <c r="AV29" t="s">
        <v>72</v>
      </c>
      <c r="AW29" t="s">
        <v>248</v>
      </c>
      <c r="AX29" s="3">
        <v>46265</v>
      </c>
      <c r="AY29">
        <v>5</v>
      </c>
      <c r="AZ29" t="s">
        <v>377</v>
      </c>
      <c r="BA29" t="s">
        <v>378</v>
      </c>
    </row>
    <row r="30" spans="1:53" x14ac:dyDescent="0.2">
      <c r="A30" t="s">
        <v>379</v>
      </c>
      <c r="B30" t="s">
        <v>239</v>
      </c>
      <c r="C30" t="s">
        <v>240</v>
      </c>
      <c r="D30" t="s">
        <v>266</v>
      </c>
      <c r="E30" t="s">
        <v>267</v>
      </c>
      <c r="F30" t="s">
        <v>268</v>
      </c>
      <c r="G30" t="s">
        <v>380</v>
      </c>
      <c r="H30" t="s">
        <v>381</v>
      </c>
      <c r="I30" t="s">
        <v>382</v>
      </c>
      <c r="J30" t="s">
        <v>383</v>
      </c>
      <c r="K30" t="s">
        <v>63</v>
      </c>
      <c r="L30" t="s">
        <v>273</v>
      </c>
      <c r="M30" t="s">
        <v>65</v>
      </c>
      <c r="N30" t="s">
        <v>66</v>
      </c>
      <c r="O30" t="s">
        <v>384</v>
      </c>
      <c r="P30" t="s">
        <v>385</v>
      </c>
      <c r="Q30">
        <v>2</v>
      </c>
      <c r="R30">
        <v>5</v>
      </c>
      <c r="S30" t="s">
        <v>386</v>
      </c>
      <c r="T30" s="2">
        <v>45695</v>
      </c>
      <c r="U30" t="s">
        <v>69</v>
      </c>
      <c r="V30" t="s">
        <v>63</v>
      </c>
      <c r="W30" t="s">
        <v>63</v>
      </c>
      <c r="X30" t="s">
        <v>63</v>
      </c>
      <c r="Y30">
        <v>3</v>
      </c>
      <c r="Z30">
        <v>5</v>
      </c>
      <c r="AA30" t="s">
        <v>387</v>
      </c>
      <c r="AB30" s="2">
        <v>45780</v>
      </c>
      <c r="AC30" t="s">
        <v>69</v>
      </c>
      <c r="AD30" t="s">
        <v>63</v>
      </c>
      <c r="AE30" t="s">
        <v>63</v>
      </c>
      <c r="AF30" t="s">
        <v>63</v>
      </c>
      <c r="AG30">
        <v>3</v>
      </c>
      <c r="AH30">
        <v>5</v>
      </c>
      <c r="AK30" t="s">
        <v>73</v>
      </c>
      <c r="AL30" t="s">
        <v>72</v>
      </c>
      <c r="AM30" t="s">
        <v>72</v>
      </c>
      <c r="AN30" t="s">
        <v>72</v>
      </c>
      <c r="AO30">
        <v>3</v>
      </c>
      <c r="AP30">
        <v>5</v>
      </c>
      <c r="AS30" t="s">
        <v>73</v>
      </c>
      <c r="AT30" t="s">
        <v>72</v>
      </c>
      <c r="AU30" t="s">
        <v>72</v>
      </c>
      <c r="AV30" t="s">
        <v>72</v>
      </c>
      <c r="AW30" t="s">
        <v>273</v>
      </c>
      <c r="AX30" s="3">
        <v>46295</v>
      </c>
      <c r="AY30">
        <v>5</v>
      </c>
      <c r="AZ30" t="s">
        <v>388</v>
      </c>
    </row>
    <row r="31" spans="1:53" x14ac:dyDescent="0.2">
      <c r="A31" t="s">
        <v>389</v>
      </c>
      <c r="B31" t="s">
        <v>183</v>
      </c>
      <c r="C31" t="s">
        <v>184</v>
      </c>
      <c r="D31" t="s">
        <v>390</v>
      </c>
      <c r="E31" t="s">
        <v>391</v>
      </c>
      <c r="F31" t="s">
        <v>392</v>
      </c>
      <c r="G31" t="s">
        <v>393</v>
      </c>
      <c r="H31" t="s">
        <v>394</v>
      </c>
      <c r="I31" t="s">
        <v>395</v>
      </c>
      <c r="J31" t="s">
        <v>396</v>
      </c>
      <c r="K31" t="s">
        <v>63</v>
      </c>
      <c r="L31" t="s">
        <v>192</v>
      </c>
      <c r="M31" t="s">
        <v>65</v>
      </c>
      <c r="N31" t="s">
        <v>66</v>
      </c>
      <c r="O31" t="s">
        <v>397</v>
      </c>
      <c r="P31" t="s">
        <v>398</v>
      </c>
      <c r="Q31">
        <v>2</v>
      </c>
      <c r="R31">
        <v>5</v>
      </c>
      <c r="S31" t="s">
        <v>399</v>
      </c>
      <c r="T31" s="2">
        <v>45696</v>
      </c>
      <c r="U31" t="s">
        <v>69</v>
      </c>
      <c r="V31" t="s">
        <v>63</v>
      </c>
      <c r="W31" t="s">
        <v>63</v>
      </c>
      <c r="X31" t="s">
        <v>63</v>
      </c>
      <c r="Y31">
        <v>3</v>
      </c>
      <c r="Z31">
        <v>5</v>
      </c>
      <c r="AA31" t="s">
        <v>400</v>
      </c>
      <c r="AB31" s="2">
        <v>45781</v>
      </c>
      <c r="AC31" t="s">
        <v>69</v>
      </c>
      <c r="AD31" t="s">
        <v>63</v>
      </c>
      <c r="AE31" t="s">
        <v>63</v>
      </c>
      <c r="AF31" t="s">
        <v>72</v>
      </c>
      <c r="AG31">
        <v>3</v>
      </c>
      <c r="AH31">
        <v>5</v>
      </c>
      <c r="AK31" t="s">
        <v>73</v>
      </c>
      <c r="AL31" t="s">
        <v>72</v>
      </c>
      <c r="AM31" t="s">
        <v>72</v>
      </c>
      <c r="AN31" t="s">
        <v>72</v>
      </c>
      <c r="AO31">
        <v>3</v>
      </c>
      <c r="AP31">
        <v>5</v>
      </c>
      <c r="AS31" t="s">
        <v>73</v>
      </c>
      <c r="AT31" t="s">
        <v>72</v>
      </c>
      <c r="AU31" t="s">
        <v>72</v>
      </c>
      <c r="AV31" t="s">
        <v>72</v>
      </c>
      <c r="AW31" t="s">
        <v>192</v>
      </c>
      <c r="AX31" s="3">
        <v>46326</v>
      </c>
      <c r="AY31">
        <v>5</v>
      </c>
      <c r="AZ31" t="s">
        <v>401</v>
      </c>
    </row>
    <row r="32" spans="1:53" x14ac:dyDescent="0.2">
      <c r="A32" t="s">
        <v>402</v>
      </c>
      <c r="B32" t="s">
        <v>183</v>
      </c>
      <c r="C32" t="s">
        <v>184</v>
      </c>
      <c r="D32" t="s">
        <v>390</v>
      </c>
      <c r="E32" t="s">
        <v>391</v>
      </c>
      <c r="F32" t="s">
        <v>392</v>
      </c>
      <c r="G32" t="s">
        <v>403</v>
      </c>
      <c r="H32" t="s">
        <v>404</v>
      </c>
      <c r="I32" t="s">
        <v>405</v>
      </c>
      <c r="J32" t="s">
        <v>406</v>
      </c>
      <c r="K32" t="s">
        <v>63</v>
      </c>
      <c r="L32" t="s">
        <v>192</v>
      </c>
      <c r="M32" t="s">
        <v>65</v>
      </c>
      <c r="N32" t="s">
        <v>66</v>
      </c>
      <c r="O32" t="s">
        <v>407</v>
      </c>
      <c r="P32" t="s">
        <v>408</v>
      </c>
      <c r="Q32">
        <v>2</v>
      </c>
      <c r="R32">
        <v>5</v>
      </c>
      <c r="S32" t="s">
        <v>409</v>
      </c>
      <c r="T32" s="2">
        <v>45697</v>
      </c>
      <c r="U32" t="s">
        <v>69</v>
      </c>
      <c r="V32" t="s">
        <v>63</v>
      </c>
      <c r="W32" t="s">
        <v>63</v>
      </c>
      <c r="X32" t="s">
        <v>72</v>
      </c>
      <c r="Y32">
        <v>3</v>
      </c>
      <c r="Z32">
        <v>5</v>
      </c>
      <c r="AA32" t="s">
        <v>410</v>
      </c>
      <c r="AB32" s="2">
        <v>45782</v>
      </c>
      <c r="AC32" t="s">
        <v>69</v>
      </c>
      <c r="AD32" t="s">
        <v>63</v>
      </c>
      <c r="AE32" t="s">
        <v>63</v>
      </c>
      <c r="AF32" t="s">
        <v>63</v>
      </c>
      <c r="AG32">
        <v>3</v>
      </c>
      <c r="AH32">
        <v>5</v>
      </c>
      <c r="AK32" t="s">
        <v>73</v>
      </c>
      <c r="AL32" t="s">
        <v>72</v>
      </c>
      <c r="AM32" t="s">
        <v>72</v>
      </c>
      <c r="AN32" t="s">
        <v>72</v>
      </c>
      <c r="AO32">
        <v>3</v>
      </c>
      <c r="AP32">
        <v>5</v>
      </c>
      <c r="AS32" t="s">
        <v>73</v>
      </c>
      <c r="AT32" t="s">
        <v>72</v>
      </c>
      <c r="AU32" t="s">
        <v>72</v>
      </c>
      <c r="AV32" t="s">
        <v>72</v>
      </c>
      <c r="AW32" t="s">
        <v>192</v>
      </c>
      <c r="AX32" s="3">
        <v>46295</v>
      </c>
      <c r="AY32">
        <v>5</v>
      </c>
      <c r="AZ32" t="s">
        <v>411</v>
      </c>
    </row>
    <row r="33" spans="1:53" x14ac:dyDescent="0.2">
      <c r="A33" t="s">
        <v>412</v>
      </c>
      <c r="B33" t="s">
        <v>183</v>
      </c>
      <c r="C33" t="s">
        <v>184</v>
      </c>
      <c r="D33" t="s">
        <v>413</v>
      </c>
      <c r="E33" t="s">
        <v>414</v>
      </c>
      <c r="F33" t="s">
        <v>415</v>
      </c>
      <c r="G33" t="s">
        <v>416</v>
      </c>
      <c r="H33" t="s">
        <v>417</v>
      </c>
      <c r="I33" t="s">
        <v>418</v>
      </c>
      <c r="J33" t="s">
        <v>419</v>
      </c>
      <c r="K33" t="s">
        <v>63</v>
      </c>
      <c r="L33" t="s">
        <v>192</v>
      </c>
      <c r="M33" t="s">
        <v>65</v>
      </c>
      <c r="N33" t="s">
        <v>66</v>
      </c>
      <c r="O33" t="s">
        <v>420</v>
      </c>
      <c r="P33" t="s">
        <v>421</v>
      </c>
      <c r="Q33">
        <v>2</v>
      </c>
      <c r="R33">
        <v>5</v>
      </c>
      <c r="S33" t="s">
        <v>422</v>
      </c>
      <c r="T33" s="2">
        <v>45698</v>
      </c>
      <c r="U33" t="s">
        <v>69</v>
      </c>
      <c r="V33" t="s">
        <v>63</v>
      </c>
      <c r="W33" t="s">
        <v>63</v>
      </c>
      <c r="X33" t="s">
        <v>72</v>
      </c>
      <c r="Y33">
        <v>3</v>
      </c>
      <c r="Z33">
        <v>5</v>
      </c>
      <c r="AA33" t="s">
        <v>423</v>
      </c>
      <c r="AB33" s="2">
        <v>45783</v>
      </c>
      <c r="AC33" t="s">
        <v>69</v>
      </c>
      <c r="AD33" t="s">
        <v>72</v>
      </c>
      <c r="AE33" t="s">
        <v>63</v>
      </c>
      <c r="AF33" t="s">
        <v>63</v>
      </c>
      <c r="AG33">
        <v>3</v>
      </c>
      <c r="AH33">
        <v>5</v>
      </c>
      <c r="AK33" t="s">
        <v>73</v>
      </c>
      <c r="AL33" t="s">
        <v>72</v>
      </c>
      <c r="AM33" t="s">
        <v>72</v>
      </c>
      <c r="AN33" t="s">
        <v>72</v>
      </c>
      <c r="AO33">
        <v>3</v>
      </c>
      <c r="AP33">
        <v>5</v>
      </c>
      <c r="AS33" t="s">
        <v>73</v>
      </c>
      <c r="AT33" t="s">
        <v>72</v>
      </c>
      <c r="AU33" t="s">
        <v>72</v>
      </c>
      <c r="AV33" t="s">
        <v>72</v>
      </c>
      <c r="AW33" t="s">
        <v>192</v>
      </c>
      <c r="AX33" s="3">
        <v>46326</v>
      </c>
      <c r="AY33">
        <v>5</v>
      </c>
      <c r="AZ33" t="s">
        <v>424</v>
      </c>
    </row>
    <row r="34" spans="1:53" x14ac:dyDescent="0.2">
      <c r="A34" t="s">
        <v>425</v>
      </c>
      <c r="B34" t="s">
        <v>225</v>
      </c>
      <c r="C34" t="s">
        <v>226</v>
      </c>
      <c r="D34" t="s">
        <v>426</v>
      </c>
      <c r="E34" t="s">
        <v>427</v>
      </c>
      <c r="F34" t="s">
        <v>428</v>
      </c>
      <c r="G34" t="s">
        <v>429</v>
      </c>
      <c r="H34" t="s">
        <v>430</v>
      </c>
      <c r="I34" t="s">
        <v>431</v>
      </c>
      <c r="J34" t="s">
        <v>432</v>
      </c>
      <c r="K34" t="s">
        <v>63</v>
      </c>
      <c r="L34" t="s">
        <v>248</v>
      </c>
      <c r="M34" t="s">
        <v>65</v>
      </c>
      <c r="N34" t="s">
        <v>66</v>
      </c>
      <c r="O34" t="s">
        <v>433</v>
      </c>
      <c r="P34" t="s">
        <v>434</v>
      </c>
      <c r="Q34">
        <v>2</v>
      </c>
      <c r="R34">
        <v>5</v>
      </c>
      <c r="S34" t="s">
        <v>435</v>
      </c>
      <c r="T34" s="2">
        <v>45699</v>
      </c>
      <c r="U34" t="s">
        <v>69</v>
      </c>
      <c r="V34" t="s">
        <v>63</v>
      </c>
      <c r="W34" t="s">
        <v>63</v>
      </c>
      <c r="X34" t="s">
        <v>63</v>
      </c>
      <c r="Y34">
        <v>3</v>
      </c>
      <c r="Z34">
        <v>5</v>
      </c>
      <c r="AA34" t="s">
        <v>436</v>
      </c>
      <c r="AB34" s="2">
        <v>45784</v>
      </c>
      <c r="AC34" t="s">
        <v>69</v>
      </c>
      <c r="AD34" t="s">
        <v>72</v>
      </c>
      <c r="AE34" t="s">
        <v>63</v>
      </c>
      <c r="AF34" t="s">
        <v>63</v>
      </c>
      <c r="AG34">
        <v>3</v>
      </c>
      <c r="AH34">
        <v>5</v>
      </c>
      <c r="AK34" t="s">
        <v>73</v>
      </c>
      <c r="AL34" t="s">
        <v>72</v>
      </c>
      <c r="AM34" t="s">
        <v>72</v>
      </c>
      <c r="AN34" t="s">
        <v>72</v>
      </c>
      <c r="AO34">
        <v>3</v>
      </c>
      <c r="AP34">
        <v>5</v>
      </c>
      <c r="AS34" t="s">
        <v>73</v>
      </c>
      <c r="AT34" t="s">
        <v>72</v>
      </c>
      <c r="AU34" t="s">
        <v>72</v>
      </c>
      <c r="AV34" t="s">
        <v>72</v>
      </c>
      <c r="AW34" t="s">
        <v>248</v>
      </c>
      <c r="AX34" s="3">
        <v>46265</v>
      </c>
      <c r="AY34">
        <v>5</v>
      </c>
      <c r="AZ34" t="s">
        <v>437</v>
      </c>
    </row>
    <row r="35" spans="1:53" x14ac:dyDescent="0.2">
      <c r="A35" t="s">
        <v>438</v>
      </c>
      <c r="B35" t="s">
        <v>239</v>
      </c>
      <c r="C35" t="s">
        <v>240</v>
      </c>
      <c r="D35" t="s">
        <v>241</v>
      </c>
      <c r="E35" t="s">
        <v>242</v>
      </c>
      <c r="F35" t="s">
        <v>243</v>
      </c>
      <c r="G35" t="s">
        <v>244</v>
      </c>
      <c r="H35" t="s">
        <v>245</v>
      </c>
      <c r="I35" t="s">
        <v>439</v>
      </c>
      <c r="J35" t="s">
        <v>440</v>
      </c>
      <c r="K35" t="s">
        <v>63</v>
      </c>
      <c r="L35" t="s">
        <v>259</v>
      </c>
      <c r="M35" t="s">
        <v>441</v>
      </c>
      <c r="N35" t="s">
        <v>64</v>
      </c>
      <c r="O35" t="s">
        <v>250</v>
      </c>
      <c r="Q35">
        <v>2.5</v>
      </c>
      <c r="R35">
        <v>5</v>
      </c>
      <c r="S35" t="s">
        <v>442</v>
      </c>
      <c r="T35" s="2">
        <v>45700</v>
      </c>
      <c r="U35" t="s">
        <v>69</v>
      </c>
      <c r="V35" t="s">
        <v>63</v>
      </c>
      <c r="W35" t="s">
        <v>63</v>
      </c>
      <c r="X35" t="s">
        <v>72</v>
      </c>
      <c r="Y35">
        <v>6</v>
      </c>
      <c r="Z35">
        <v>5</v>
      </c>
      <c r="AA35" t="s">
        <v>443</v>
      </c>
      <c r="AB35" s="2">
        <v>45785</v>
      </c>
      <c r="AC35" t="s">
        <v>69</v>
      </c>
      <c r="AD35" t="s">
        <v>63</v>
      </c>
      <c r="AE35" t="s">
        <v>63</v>
      </c>
      <c r="AF35" t="s">
        <v>72</v>
      </c>
      <c r="AG35">
        <v>6</v>
      </c>
      <c r="AH35">
        <v>5</v>
      </c>
      <c r="AK35" t="s">
        <v>73</v>
      </c>
      <c r="AL35" t="s">
        <v>72</v>
      </c>
      <c r="AM35" t="s">
        <v>72</v>
      </c>
      <c r="AN35" t="s">
        <v>72</v>
      </c>
      <c r="AO35">
        <v>6</v>
      </c>
      <c r="AP35">
        <v>5</v>
      </c>
      <c r="AS35" t="s">
        <v>73</v>
      </c>
      <c r="AT35" t="s">
        <v>72</v>
      </c>
      <c r="AU35" t="s">
        <v>72</v>
      </c>
      <c r="AV35" t="s">
        <v>72</v>
      </c>
      <c r="AY35">
        <v>5</v>
      </c>
      <c r="BA35" t="s">
        <v>444</v>
      </c>
    </row>
    <row r="36" spans="1:53" x14ac:dyDescent="0.2">
      <c r="A36" t="s">
        <v>445</v>
      </c>
      <c r="B36" t="s">
        <v>239</v>
      </c>
      <c r="C36" t="s">
        <v>240</v>
      </c>
      <c r="D36" t="s">
        <v>241</v>
      </c>
      <c r="E36" t="s">
        <v>242</v>
      </c>
      <c r="F36" t="s">
        <v>243</v>
      </c>
      <c r="G36" t="s">
        <v>446</v>
      </c>
      <c r="H36" t="s">
        <v>447</v>
      </c>
      <c r="I36" t="s">
        <v>448</v>
      </c>
      <c r="J36" t="s">
        <v>449</v>
      </c>
      <c r="K36" t="s">
        <v>63</v>
      </c>
      <c r="L36" t="s">
        <v>64</v>
      </c>
      <c r="M36" t="s">
        <v>65</v>
      </c>
      <c r="N36" t="s">
        <v>66</v>
      </c>
      <c r="O36" t="s">
        <v>450</v>
      </c>
      <c r="P36" t="s">
        <v>451</v>
      </c>
      <c r="Q36">
        <v>2.5</v>
      </c>
      <c r="R36">
        <v>5</v>
      </c>
      <c r="S36" t="s">
        <v>452</v>
      </c>
      <c r="T36" s="2">
        <v>45701</v>
      </c>
      <c r="U36" t="s">
        <v>69</v>
      </c>
      <c r="V36" t="s">
        <v>63</v>
      </c>
      <c r="W36" t="s">
        <v>63</v>
      </c>
      <c r="X36" t="s">
        <v>72</v>
      </c>
      <c r="Y36">
        <v>6</v>
      </c>
      <c r="Z36">
        <v>5</v>
      </c>
      <c r="AA36" t="s">
        <v>453</v>
      </c>
      <c r="AB36" s="2">
        <v>45786</v>
      </c>
      <c r="AC36" t="s">
        <v>69</v>
      </c>
      <c r="AD36" t="s">
        <v>63</v>
      </c>
      <c r="AE36" t="s">
        <v>63</v>
      </c>
      <c r="AF36" t="s">
        <v>63</v>
      </c>
      <c r="AG36">
        <v>6</v>
      </c>
      <c r="AH36">
        <v>5</v>
      </c>
      <c r="AK36" t="s">
        <v>73</v>
      </c>
      <c r="AL36" t="s">
        <v>72</v>
      </c>
      <c r="AM36" t="s">
        <v>72</v>
      </c>
      <c r="AN36" t="s">
        <v>72</v>
      </c>
      <c r="AO36">
        <v>6</v>
      </c>
      <c r="AP36">
        <v>5</v>
      </c>
      <c r="AS36" t="s">
        <v>73</v>
      </c>
      <c r="AT36" t="s">
        <v>72</v>
      </c>
      <c r="AU36" t="s">
        <v>72</v>
      </c>
      <c r="AV36" t="s">
        <v>72</v>
      </c>
      <c r="AY36">
        <v>5</v>
      </c>
      <c r="BA36" t="s">
        <v>454</v>
      </c>
    </row>
    <row r="37" spans="1:53" x14ac:dyDescent="0.2">
      <c r="A37" t="s">
        <v>455</v>
      </c>
      <c r="B37" t="s">
        <v>183</v>
      </c>
      <c r="C37" t="s">
        <v>184</v>
      </c>
      <c r="D37" t="s">
        <v>185</v>
      </c>
      <c r="E37" t="s">
        <v>186</v>
      </c>
      <c r="F37" t="s">
        <v>187</v>
      </c>
      <c r="G37" t="s">
        <v>456</v>
      </c>
      <c r="H37" t="s">
        <v>457</v>
      </c>
      <c r="I37" t="s">
        <v>458</v>
      </c>
      <c r="J37" t="s">
        <v>459</v>
      </c>
      <c r="K37" t="s">
        <v>63</v>
      </c>
      <c r="L37" t="s">
        <v>64</v>
      </c>
      <c r="M37" t="s">
        <v>65</v>
      </c>
      <c r="N37" t="s">
        <v>66</v>
      </c>
      <c r="O37" t="s">
        <v>460</v>
      </c>
      <c r="P37" t="s">
        <v>461</v>
      </c>
      <c r="Q37">
        <v>3</v>
      </c>
      <c r="R37">
        <v>5</v>
      </c>
      <c r="S37" t="s">
        <v>462</v>
      </c>
      <c r="T37" s="2">
        <v>45702</v>
      </c>
      <c r="U37" t="s">
        <v>69</v>
      </c>
      <c r="V37" t="s">
        <v>63</v>
      </c>
      <c r="W37" t="s">
        <v>63</v>
      </c>
      <c r="X37" t="s">
        <v>72</v>
      </c>
      <c r="Y37">
        <v>6</v>
      </c>
      <c r="Z37">
        <v>5</v>
      </c>
      <c r="AA37" t="s">
        <v>463</v>
      </c>
      <c r="AB37" s="2">
        <v>45787</v>
      </c>
      <c r="AC37" t="s">
        <v>69</v>
      </c>
      <c r="AD37" t="s">
        <v>72</v>
      </c>
      <c r="AE37" t="s">
        <v>63</v>
      </c>
      <c r="AF37" t="s">
        <v>63</v>
      </c>
      <c r="AG37">
        <v>6</v>
      </c>
      <c r="AH37">
        <v>5</v>
      </c>
      <c r="AK37" t="s">
        <v>73</v>
      </c>
      <c r="AL37" t="s">
        <v>72</v>
      </c>
      <c r="AM37" t="s">
        <v>72</v>
      </c>
      <c r="AN37" t="s">
        <v>72</v>
      </c>
      <c r="AO37">
        <v>6</v>
      </c>
      <c r="AP37">
        <v>5</v>
      </c>
      <c r="AS37" t="s">
        <v>73</v>
      </c>
      <c r="AT37" t="s">
        <v>72</v>
      </c>
      <c r="AU37" t="s">
        <v>72</v>
      </c>
      <c r="AV37" t="s">
        <v>72</v>
      </c>
      <c r="AY37">
        <v>5</v>
      </c>
    </row>
    <row r="38" spans="1:53" x14ac:dyDescent="0.2">
      <c r="A38" t="s">
        <v>464</v>
      </c>
      <c r="B38" t="s">
        <v>199</v>
      </c>
      <c r="C38" t="s">
        <v>200</v>
      </c>
      <c r="D38" t="s">
        <v>465</v>
      </c>
      <c r="E38" t="s">
        <v>466</v>
      </c>
      <c r="F38" t="s">
        <v>467</v>
      </c>
      <c r="G38" t="s">
        <v>468</v>
      </c>
      <c r="H38" t="s">
        <v>469</v>
      </c>
      <c r="I38" t="s">
        <v>470</v>
      </c>
      <c r="J38" t="s">
        <v>471</v>
      </c>
      <c r="K38" t="s">
        <v>63</v>
      </c>
      <c r="L38" t="s">
        <v>64</v>
      </c>
      <c r="M38" t="s">
        <v>65</v>
      </c>
      <c r="N38" t="s">
        <v>66</v>
      </c>
      <c r="O38" t="s">
        <v>472</v>
      </c>
      <c r="P38" t="s">
        <v>473</v>
      </c>
      <c r="Q38">
        <v>3</v>
      </c>
      <c r="R38">
        <v>5</v>
      </c>
      <c r="S38" t="s">
        <v>474</v>
      </c>
      <c r="T38" s="2">
        <v>45703</v>
      </c>
      <c r="U38" t="s">
        <v>69</v>
      </c>
      <c r="V38" t="s">
        <v>63</v>
      </c>
      <c r="W38" t="s">
        <v>63</v>
      </c>
      <c r="X38" t="s">
        <v>72</v>
      </c>
      <c r="Y38">
        <v>5</v>
      </c>
      <c r="Z38">
        <v>5</v>
      </c>
      <c r="AA38" t="s">
        <v>475</v>
      </c>
      <c r="AB38" s="2">
        <v>45788</v>
      </c>
      <c r="AC38" t="s">
        <v>69</v>
      </c>
      <c r="AD38" t="s">
        <v>72</v>
      </c>
      <c r="AE38" t="s">
        <v>63</v>
      </c>
      <c r="AF38" t="s">
        <v>63</v>
      </c>
      <c r="AG38">
        <v>5</v>
      </c>
      <c r="AH38">
        <v>5</v>
      </c>
      <c r="AK38" t="s">
        <v>73</v>
      </c>
      <c r="AL38" t="s">
        <v>72</v>
      </c>
      <c r="AM38" t="s">
        <v>72</v>
      </c>
      <c r="AN38" t="s">
        <v>72</v>
      </c>
      <c r="AO38">
        <v>5</v>
      </c>
      <c r="AP38">
        <v>5</v>
      </c>
      <c r="AS38" t="s">
        <v>73</v>
      </c>
      <c r="AT38" t="s">
        <v>72</v>
      </c>
      <c r="AU38" t="s">
        <v>72</v>
      </c>
      <c r="AV38" t="s">
        <v>72</v>
      </c>
      <c r="AY38">
        <v>5</v>
      </c>
    </row>
    <row r="39" spans="1:53" x14ac:dyDescent="0.2">
      <c r="A39" t="s">
        <v>476</v>
      </c>
      <c r="B39" t="s">
        <v>199</v>
      </c>
      <c r="C39" t="s">
        <v>200</v>
      </c>
      <c r="D39" t="s">
        <v>290</v>
      </c>
      <c r="E39" t="s">
        <v>291</v>
      </c>
      <c r="F39" t="s">
        <v>292</v>
      </c>
      <c r="G39" t="s">
        <v>477</v>
      </c>
      <c r="H39" t="s">
        <v>478</v>
      </c>
      <c r="I39" t="s">
        <v>479</v>
      </c>
      <c r="J39" t="s">
        <v>480</v>
      </c>
      <c r="K39" t="s">
        <v>63</v>
      </c>
      <c r="L39" t="s">
        <v>64</v>
      </c>
      <c r="M39" t="s">
        <v>65</v>
      </c>
      <c r="N39" t="s">
        <v>66</v>
      </c>
      <c r="O39" t="s">
        <v>481</v>
      </c>
      <c r="P39" t="s">
        <v>482</v>
      </c>
      <c r="Q39">
        <v>3</v>
      </c>
      <c r="R39">
        <v>5</v>
      </c>
      <c r="S39" t="s">
        <v>483</v>
      </c>
      <c r="T39" s="2">
        <v>45704</v>
      </c>
      <c r="U39" t="s">
        <v>69</v>
      </c>
      <c r="V39" t="s">
        <v>63</v>
      </c>
      <c r="W39" t="s">
        <v>63</v>
      </c>
      <c r="X39" t="s">
        <v>72</v>
      </c>
      <c r="Y39">
        <v>5</v>
      </c>
      <c r="Z39">
        <v>5</v>
      </c>
      <c r="AA39" t="s">
        <v>484</v>
      </c>
      <c r="AB39" s="2">
        <v>45789</v>
      </c>
      <c r="AC39" t="s">
        <v>69</v>
      </c>
      <c r="AD39" t="s">
        <v>63</v>
      </c>
      <c r="AE39" t="s">
        <v>63</v>
      </c>
      <c r="AF39" t="s">
        <v>63</v>
      </c>
      <c r="AG39">
        <v>5</v>
      </c>
      <c r="AH39">
        <v>5</v>
      </c>
      <c r="AK39" t="s">
        <v>71</v>
      </c>
      <c r="AL39" t="s">
        <v>72</v>
      </c>
      <c r="AM39" t="s">
        <v>72</v>
      </c>
      <c r="AN39" t="s">
        <v>72</v>
      </c>
      <c r="AO39">
        <v>5</v>
      </c>
      <c r="AP39">
        <v>5</v>
      </c>
      <c r="AS39" t="s">
        <v>73</v>
      </c>
      <c r="AT39" t="s">
        <v>72</v>
      </c>
      <c r="AU39" t="s">
        <v>72</v>
      </c>
      <c r="AV39" t="s">
        <v>72</v>
      </c>
      <c r="AY39">
        <v>5</v>
      </c>
    </row>
    <row r="40" spans="1:53" x14ac:dyDescent="0.2">
      <c r="A40" t="s">
        <v>485</v>
      </c>
      <c r="B40" t="s">
        <v>239</v>
      </c>
      <c r="C40" t="s">
        <v>240</v>
      </c>
      <c r="D40" t="s">
        <v>241</v>
      </c>
      <c r="E40" t="s">
        <v>242</v>
      </c>
      <c r="F40" t="s">
        <v>243</v>
      </c>
      <c r="G40" t="s">
        <v>244</v>
      </c>
      <c r="H40" t="s">
        <v>245</v>
      </c>
      <c r="I40" t="s">
        <v>486</v>
      </c>
      <c r="J40" t="s">
        <v>250</v>
      </c>
      <c r="K40" t="s">
        <v>72</v>
      </c>
      <c r="O40" t="s">
        <v>250</v>
      </c>
      <c r="Q40">
        <v>0</v>
      </c>
      <c r="R40">
        <v>0</v>
      </c>
      <c r="U40" t="s">
        <v>73</v>
      </c>
      <c r="V40" t="s">
        <v>72</v>
      </c>
      <c r="W40" t="s">
        <v>72</v>
      </c>
      <c r="X40" t="s">
        <v>72</v>
      </c>
      <c r="Y40">
        <v>0</v>
      </c>
      <c r="Z40">
        <v>0</v>
      </c>
      <c r="AC40" t="s">
        <v>73</v>
      </c>
      <c r="AD40" t="s">
        <v>72</v>
      </c>
      <c r="AE40" t="s">
        <v>72</v>
      </c>
      <c r="AF40" t="s">
        <v>72</v>
      </c>
      <c r="AG40">
        <v>0</v>
      </c>
      <c r="AH40">
        <v>0</v>
      </c>
      <c r="AK40" t="s">
        <v>73</v>
      </c>
      <c r="AL40" t="s">
        <v>72</v>
      </c>
      <c r="AM40" t="s">
        <v>72</v>
      </c>
      <c r="AN40" t="s">
        <v>72</v>
      </c>
      <c r="AO40">
        <v>0</v>
      </c>
      <c r="AP40">
        <v>0</v>
      </c>
      <c r="AS40" t="s">
        <v>73</v>
      </c>
      <c r="AT40" t="s">
        <v>72</v>
      </c>
      <c r="AU40" t="s">
        <v>72</v>
      </c>
      <c r="AV40" t="s">
        <v>72</v>
      </c>
      <c r="AY40">
        <v>0</v>
      </c>
    </row>
    <row r="41" spans="1:53" x14ac:dyDescent="0.2">
      <c r="A41" t="s">
        <v>487</v>
      </c>
      <c r="B41" t="s">
        <v>239</v>
      </c>
      <c r="C41" t="s">
        <v>240</v>
      </c>
      <c r="D41" t="s">
        <v>241</v>
      </c>
      <c r="E41" t="s">
        <v>242</v>
      </c>
      <c r="F41" t="s">
        <v>243</v>
      </c>
      <c r="G41" t="s">
        <v>244</v>
      </c>
      <c r="H41" t="s">
        <v>245</v>
      </c>
      <c r="I41" t="s">
        <v>488</v>
      </c>
      <c r="J41" t="s">
        <v>250</v>
      </c>
      <c r="K41" t="s">
        <v>72</v>
      </c>
      <c r="O41" t="s">
        <v>250</v>
      </c>
      <c r="Q41">
        <v>0</v>
      </c>
      <c r="R41">
        <v>0</v>
      </c>
      <c r="U41" t="s">
        <v>73</v>
      </c>
      <c r="V41" t="s">
        <v>72</v>
      </c>
      <c r="W41" t="s">
        <v>72</v>
      </c>
      <c r="X41" t="s">
        <v>72</v>
      </c>
      <c r="Y41">
        <v>0</v>
      </c>
      <c r="Z41">
        <v>0</v>
      </c>
      <c r="AC41" t="s">
        <v>73</v>
      </c>
      <c r="AD41" t="s">
        <v>72</v>
      </c>
      <c r="AE41" t="s">
        <v>72</v>
      </c>
      <c r="AF41" t="s">
        <v>72</v>
      </c>
      <c r="AG41">
        <v>0</v>
      </c>
      <c r="AH41">
        <v>0</v>
      </c>
      <c r="AK41" t="s">
        <v>73</v>
      </c>
      <c r="AL41" t="s">
        <v>72</v>
      </c>
      <c r="AM41" t="s">
        <v>72</v>
      </c>
      <c r="AN41" t="s">
        <v>72</v>
      </c>
      <c r="AO41">
        <v>0</v>
      </c>
      <c r="AP41">
        <v>0</v>
      </c>
      <c r="AS41" t="s">
        <v>73</v>
      </c>
      <c r="AT41" t="s">
        <v>72</v>
      </c>
      <c r="AU41" t="s">
        <v>72</v>
      </c>
      <c r="AV41" t="s">
        <v>72</v>
      </c>
      <c r="AY41">
        <v>0</v>
      </c>
    </row>
    <row r="42" spans="1:53" x14ac:dyDescent="0.2">
      <c r="A42" t="s">
        <v>489</v>
      </c>
      <c r="B42" t="s">
        <v>239</v>
      </c>
      <c r="C42" t="s">
        <v>240</v>
      </c>
      <c r="D42" t="s">
        <v>241</v>
      </c>
      <c r="E42" t="s">
        <v>242</v>
      </c>
      <c r="F42" t="s">
        <v>243</v>
      </c>
      <c r="G42" t="s">
        <v>360</v>
      </c>
      <c r="H42" t="s">
        <v>361</v>
      </c>
      <c r="I42" t="s">
        <v>490</v>
      </c>
      <c r="J42" t="s">
        <v>364</v>
      </c>
      <c r="K42" t="s">
        <v>72</v>
      </c>
      <c r="O42" t="s">
        <v>364</v>
      </c>
      <c r="Q42">
        <v>0</v>
      </c>
      <c r="R42">
        <v>0</v>
      </c>
      <c r="U42" t="s">
        <v>73</v>
      </c>
      <c r="V42" t="s">
        <v>72</v>
      </c>
      <c r="W42" t="s">
        <v>72</v>
      </c>
      <c r="X42" t="s">
        <v>72</v>
      </c>
      <c r="Y42">
        <v>0</v>
      </c>
      <c r="Z42">
        <v>0</v>
      </c>
      <c r="AC42" t="s">
        <v>73</v>
      </c>
      <c r="AD42" t="s">
        <v>72</v>
      </c>
      <c r="AE42" t="s">
        <v>72</v>
      </c>
      <c r="AF42" t="s">
        <v>72</v>
      </c>
      <c r="AG42">
        <v>0</v>
      </c>
      <c r="AH42">
        <v>0</v>
      </c>
      <c r="AK42" t="s">
        <v>73</v>
      </c>
      <c r="AL42" t="s">
        <v>72</v>
      </c>
      <c r="AM42" t="s">
        <v>72</v>
      </c>
      <c r="AN42" t="s">
        <v>72</v>
      </c>
      <c r="AO42">
        <v>0</v>
      </c>
      <c r="AP42">
        <v>0</v>
      </c>
      <c r="AS42" t="s">
        <v>73</v>
      </c>
      <c r="AT42" t="s">
        <v>72</v>
      </c>
      <c r="AU42" t="s">
        <v>72</v>
      </c>
      <c r="AV42" t="s">
        <v>72</v>
      </c>
      <c r="AY42">
        <v>0</v>
      </c>
    </row>
    <row r="43" spans="1:53" x14ac:dyDescent="0.2">
      <c r="A43" t="s">
        <v>491</v>
      </c>
      <c r="B43" t="s">
        <v>239</v>
      </c>
      <c r="C43" t="s">
        <v>240</v>
      </c>
      <c r="D43" t="s">
        <v>241</v>
      </c>
      <c r="E43" t="s">
        <v>242</v>
      </c>
      <c r="F43" t="s">
        <v>243</v>
      </c>
      <c r="G43" t="s">
        <v>360</v>
      </c>
      <c r="H43" t="s">
        <v>361</v>
      </c>
      <c r="I43" t="s">
        <v>492</v>
      </c>
      <c r="J43" t="s">
        <v>364</v>
      </c>
      <c r="K43" t="s">
        <v>72</v>
      </c>
      <c r="O43" t="s">
        <v>364</v>
      </c>
      <c r="Q43">
        <v>0</v>
      </c>
      <c r="R43">
        <v>0</v>
      </c>
      <c r="U43" t="s">
        <v>73</v>
      </c>
      <c r="V43" t="s">
        <v>72</v>
      </c>
      <c r="W43" t="s">
        <v>72</v>
      </c>
      <c r="X43" t="s">
        <v>72</v>
      </c>
      <c r="Y43">
        <v>0</v>
      </c>
      <c r="Z43">
        <v>0</v>
      </c>
      <c r="AC43" t="s">
        <v>73</v>
      </c>
      <c r="AD43" t="s">
        <v>72</v>
      </c>
      <c r="AE43" t="s">
        <v>72</v>
      </c>
      <c r="AF43" t="s">
        <v>72</v>
      </c>
      <c r="AG43">
        <v>0</v>
      </c>
      <c r="AH43">
        <v>0</v>
      </c>
      <c r="AK43" t="s">
        <v>73</v>
      </c>
      <c r="AL43" t="s">
        <v>72</v>
      </c>
      <c r="AM43" t="s">
        <v>72</v>
      </c>
      <c r="AN43" t="s">
        <v>72</v>
      </c>
      <c r="AO43">
        <v>0</v>
      </c>
      <c r="AP43">
        <v>0</v>
      </c>
      <c r="AS43" t="s">
        <v>73</v>
      </c>
      <c r="AT43" t="s">
        <v>72</v>
      </c>
      <c r="AU43" t="s">
        <v>72</v>
      </c>
      <c r="AV43" t="s">
        <v>72</v>
      </c>
      <c r="AY43">
        <v>0</v>
      </c>
    </row>
    <row r="44" spans="1:53" x14ac:dyDescent="0.2">
      <c r="A44" t="s">
        <v>493</v>
      </c>
      <c r="B44" t="s">
        <v>239</v>
      </c>
      <c r="C44" t="s">
        <v>240</v>
      </c>
      <c r="D44" t="s">
        <v>241</v>
      </c>
      <c r="E44" t="s">
        <v>242</v>
      </c>
      <c r="F44" t="s">
        <v>243</v>
      </c>
      <c r="G44" t="s">
        <v>494</v>
      </c>
      <c r="H44" t="s">
        <v>495</v>
      </c>
      <c r="I44" t="s">
        <v>496</v>
      </c>
      <c r="J44" t="s">
        <v>497</v>
      </c>
      <c r="K44" t="s">
        <v>72</v>
      </c>
      <c r="O44" t="s">
        <v>497</v>
      </c>
      <c r="Q44">
        <v>0</v>
      </c>
      <c r="R44">
        <v>0</v>
      </c>
      <c r="U44" t="s">
        <v>73</v>
      </c>
      <c r="V44" t="s">
        <v>72</v>
      </c>
      <c r="W44" t="s">
        <v>72</v>
      </c>
      <c r="X44" t="s">
        <v>72</v>
      </c>
      <c r="Y44">
        <v>0</v>
      </c>
      <c r="Z44">
        <v>0</v>
      </c>
      <c r="AC44" t="s">
        <v>73</v>
      </c>
      <c r="AD44" t="s">
        <v>72</v>
      </c>
      <c r="AE44" t="s">
        <v>72</v>
      </c>
      <c r="AF44" t="s">
        <v>72</v>
      </c>
      <c r="AG44">
        <v>0</v>
      </c>
      <c r="AH44">
        <v>0</v>
      </c>
      <c r="AK44" t="s">
        <v>73</v>
      </c>
      <c r="AL44" t="s">
        <v>72</v>
      </c>
      <c r="AM44" t="s">
        <v>72</v>
      </c>
      <c r="AN44" t="s">
        <v>72</v>
      </c>
      <c r="AO44">
        <v>0</v>
      </c>
      <c r="AP44">
        <v>0</v>
      </c>
      <c r="AS44" t="s">
        <v>73</v>
      </c>
      <c r="AT44" t="s">
        <v>72</v>
      </c>
      <c r="AU44" t="s">
        <v>72</v>
      </c>
      <c r="AV44" t="s">
        <v>72</v>
      </c>
      <c r="AY44">
        <v>0</v>
      </c>
    </row>
    <row r="45" spans="1:53" x14ac:dyDescent="0.2">
      <c r="A45" t="s">
        <v>498</v>
      </c>
      <c r="B45" t="s">
        <v>239</v>
      </c>
      <c r="C45" t="s">
        <v>240</v>
      </c>
      <c r="D45" t="s">
        <v>241</v>
      </c>
      <c r="E45" t="s">
        <v>242</v>
      </c>
      <c r="F45" t="s">
        <v>243</v>
      </c>
      <c r="G45" t="s">
        <v>494</v>
      </c>
      <c r="H45" t="s">
        <v>495</v>
      </c>
      <c r="I45" t="s">
        <v>499</v>
      </c>
      <c r="J45" t="s">
        <v>497</v>
      </c>
      <c r="K45" t="s">
        <v>72</v>
      </c>
      <c r="O45" t="s">
        <v>497</v>
      </c>
      <c r="Q45">
        <v>0</v>
      </c>
      <c r="R45">
        <v>0</v>
      </c>
      <c r="U45" t="s">
        <v>73</v>
      </c>
      <c r="V45" t="s">
        <v>72</v>
      </c>
      <c r="W45" t="s">
        <v>72</v>
      </c>
      <c r="X45" t="s">
        <v>72</v>
      </c>
      <c r="Y45">
        <v>0</v>
      </c>
      <c r="Z45">
        <v>0</v>
      </c>
      <c r="AC45" t="s">
        <v>73</v>
      </c>
      <c r="AD45" t="s">
        <v>72</v>
      </c>
      <c r="AE45" t="s">
        <v>72</v>
      </c>
      <c r="AF45" t="s">
        <v>72</v>
      </c>
      <c r="AG45">
        <v>0</v>
      </c>
      <c r="AH45">
        <v>0</v>
      </c>
      <c r="AK45" t="s">
        <v>73</v>
      </c>
      <c r="AL45" t="s">
        <v>72</v>
      </c>
      <c r="AM45" t="s">
        <v>72</v>
      </c>
      <c r="AN45" t="s">
        <v>72</v>
      </c>
      <c r="AO45">
        <v>0</v>
      </c>
      <c r="AP45">
        <v>0</v>
      </c>
      <c r="AS45" t="s">
        <v>73</v>
      </c>
      <c r="AT45" t="s">
        <v>72</v>
      </c>
      <c r="AU45" t="s">
        <v>72</v>
      </c>
      <c r="AV45" t="s">
        <v>72</v>
      </c>
      <c r="AY45">
        <v>0</v>
      </c>
    </row>
    <row r="46" spans="1:53" x14ac:dyDescent="0.2">
      <c r="A46" t="s">
        <v>500</v>
      </c>
      <c r="B46" t="s">
        <v>239</v>
      </c>
      <c r="C46" t="s">
        <v>240</v>
      </c>
      <c r="D46" t="s">
        <v>241</v>
      </c>
      <c r="E46" t="s">
        <v>242</v>
      </c>
      <c r="F46" t="s">
        <v>243</v>
      </c>
      <c r="G46" t="s">
        <v>255</v>
      </c>
      <c r="H46" t="s">
        <v>256</v>
      </c>
      <c r="I46" t="s">
        <v>501</v>
      </c>
      <c r="J46" t="s">
        <v>260</v>
      </c>
      <c r="K46" t="s">
        <v>72</v>
      </c>
      <c r="O46" t="s">
        <v>260</v>
      </c>
      <c r="Q46">
        <v>0</v>
      </c>
      <c r="R46">
        <v>0</v>
      </c>
      <c r="U46" t="s">
        <v>73</v>
      </c>
      <c r="V46" t="s">
        <v>72</v>
      </c>
      <c r="W46" t="s">
        <v>72</v>
      </c>
      <c r="X46" t="s">
        <v>72</v>
      </c>
      <c r="Y46">
        <v>0</v>
      </c>
      <c r="Z46">
        <v>0</v>
      </c>
      <c r="AC46" t="s">
        <v>73</v>
      </c>
      <c r="AD46" t="s">
        <v>72</v>
      </c>
      <c r="AE46" t="s">
        <v>72</v>
      </c>
      <c r="AF46" t="s">
        <v>72</v>
      </c>
      <c r="AG46">
        <v>0</v>
      </c>
      <c r="AH46">
        <v>0</v>
      </c>
      <c r="AK46" t="s">
        <v>73</v>
      </c>
      <c r="AL46" t="s">
        <v>72</v>
      </c>
      <c r="AM46" t="s">
        <v>72</v>
      </c>
      <c r="AN46" t="s">
        <v>72</v>
      </c>
      <c r="AO46">
        <v>0</v>
      </c>
      <c r="AP46">
        <v>0</v>
      </c>
      <c r="AS46" t="s">
        <v>73</v>
      </c>
      <c r="AT46" t="s">
        <v>72</v>
      </c>
      <c r="AU46" t="s">
        <v>72</v>
      </c>
      <c r="AV46" t="s">
        <v>72</v>
      </c>
      <c r="AY46">
        <v>0</v>
      </c>
    </row>
    <row r="47" spans="1:53" x14ac:dyDescent="0.2">
      <c r="A47" t="s">
        <v>502</v>
      </c>
      <c r="B47" t="s">
        <v>239</v>
      </c>
      <c r="C47" t="s">
        <v>240</v>
      </c>
      <c r="D47" t="s">
        <v>241</v>
      </c>
      <c r="E47" t="s">
        <v>242</v>
      </c>
      <c r="F47" t="s">
        <v>243</v>
      </c>
      <c r="G47" t="s">
        <v>255</v>
      </c>
      <c r="H47" t="s">
        <v>256</v>
      </c>
      <c r="I47" t="s">
        <v>503</v>
      </c>
      <c r="J47" t="s">
        <v>260</v>
      </c>
      <c r="K47" t="s">
        <v>72</v>
      </c>
      <c r="O47" t="s">
        <v>260</v>
      </c>
      <c r="Q47">
        <v>0</v>
      </c>
      <c r="R47">
        <v>0</v>
      </c>
      <c r="U47" t="s">
        <v>73</v>
      </c>
      <c r="V47" t="s">
        <v>72</v>
      </c>
      <c r="W47" t="s">
        <v>72</v>
      </c>
      <c r="X47" t="s">
        <v>72</v>
      </c>
      <c r="Y47">
        <v>0</v>
      </c>
      <c r="Z47">
        <v>0</v>
      </c>
      <c r="AC47" t="s">
        <v>73</v>
      </c>
      <c r="AD47" t="s">
        <v>72</v>
      </c>
      <c r="AE47" t="s">
        <v>72</v>
      </c>
      <c r="AF47" t="s">
        <v>72</v>
      </c>
      <c r="AG47">
        <v>0</v>
      </c>
      <c r="AH47">
        <v>0</v>
      </c>
      <c r="AK47" t="s">
        <v>73</v>
      </c>
      <c r="AL47" t="s">
        <v>72</v>
      </c>
      <c r="AM47" t="s">
        <v>72</v>
      </c>
      <c r="AN47" t="s">
        <v>72</v>
      </c>
      <c r="AO47">
        <v>0</v>
      </c>
      <c r="AP47">
        <v>0</v>
      </c>
      <c r="AS47" t="s">
        <v>73</v>
      </c>
      <c r="AT47" t="s">
        <v>72</v>
      </c>
      <c r="AU47" t="s">
        <v>72</v>
      </c>
      <c r="AV47" t="s">
        <v>72</v>
      </c>
      <c r="AY47">
        <v>0</v>
      </c>
    </row>
    <row r="48" spans="1:53" x14ac:dyDescent="0.2">
      <c r="A48" t="s">
        <v>504</v>
      </c>
      <c r="B48" t="s">
        <v>239</v>
      </c>
      <c r="C48" t="s">
        <v>240</v>
      </c>
      <c r="D48" t="s">
        <v>241</v>
      </c>
      <c r="E48" t="s">
        <v>242</v>
      </c>
      <c r="F48" t="s">
        <v>243</v>
      </c>
      <c r="G48" t="s">
        <v>255</v>
      </c>
      <c r="H48" t="s">
        <v>256</v>
      </c>
      <c r="I48" t="s">
        <v>505</v>
      </c>
      <c r="J48" t="s">
        <v>260</v>
      </c>
      <c r="K48" t="s">
        <v>72</v>
      </c>
      <c r="O48" t="s">
        <v>260</v>
      </c>
      <c r="Q48">
        <v>0</v>
      </c>
      <c r="R48">
        <v>0</v>
      </c>
      <c r="U48" t="s">
        <v>73</v>
      </c>
      <c r="V48" t="s">
        <v>72</v>
      </c>
      <c r="W48" t="s">
        <v>72</v>
      </c>
      <c r="X48" t="s">
        <v>72</v>
      </c>
      <c r="Y48">
        <v>0</v>
      </c>
      <c r="Z48">
        <v>0</v>
      </c>
      <c r="AC48" t="s">
        <v>73</v>
      </c>
      <c r="AD48" t="s">
        <v>72</v>
      </c>
      <c r="AE48" t="s">
        <v>72</v>
      </c>
      <c r="AF48" t="s">
        <v>72</v>
      </c>
      <c r="AG48">
        <v>0</v>
      </c>
      <c r="AH48">
        <v>0</v>
      </c>
      <c r="AK48" t="s">
        <v>73</v>
      </c>
      <c r="AL48" t="s">
        <v>72</v>
      </c>
      <c r="AM48" t="s">
        <v>72</v>
      </c>
      <c r="AN48" t="s">
        <v>72</v>
      </c>
      <c r="AO48">
        <v>0</v>
      </c>
      <c r="AP48">
        <v>0</v>
      </c>
      <c r="AS48" t="s">
        <v>73</v>
      </c>
      <c r="AT48" t="s">
        <v>72</v>
      </c>
      <c r="AU48" t="s">
        <v>72</v>
      </c>
      <c r="AV48" t="s">
        <v>72</v>
      </c>
      <c r="AY48">
        <v>0</v>
      </c>
    </row>
    <row r="49" spans="1:51" x14ac:dyDescent="0.2">
      <c r="A49" t="s">
        <v>506</v>
      </c>
      <c r="B49" t="s">
        <v>239</v>
      </c>
      <c r="C49" t="s">
        <v>240</v>
      </c>
      <c r="D49" t="s">
        <v>241</v>
      </c>
      <c r="E49" t="s">
        <v>242</v>
      </c>
      <c r="F49" t="s">
        <v>243</v>
      </c>
      <c r="G49" t="s">
        <v>507</v>
      </c>
      <c r="H49" t="s">
        <v>508</v>
      </c>
      <c r="I49" t="s">
        <v>509</v>
      </c>
      <c r="J49" t="s">
        <v>510</v>
      </c>
      <c r="K49" t="s">
        <v>72</v>
      </c>
      <c r="O49" t="s">
        <v>510</v>
      </c>
      <c r="Q49">
        <v>0</v>
      </c>
      <c r="R49">
        <v>0</v>
      </c>
      <c r="U49" t="s">
        <v>73</v>
      </c>
      <c r="V49" t="s">
        <v>72</v>
      </c>
      <c r="W49" t="s">
        <v>72</v>
      </c>
      <c r="X49" t="s">
        <v>72</v>
      </c>
      <c r="Y49">
        <v>0</v>
      </c>
      <c r="Z49">
        <v>0</v>
      </c>
      <c r="AC49" t="s">
        <v>73</v>
      </c>
      <c r="AD49" t="s">
        <v>72</v>
      </c>
      <c r="AE49" t="s">
        <v>72</v>
      </c>
      <c r="AF49" t="s">
        <v>72</v>
      </c>
      <c r="AG49">
        <v>0</v>
      </c>
      <c r="AH49">
        <v>0</v>
      </c>
      <c r="AK49" t="s">
        <v>73</v>
      </c>
      <c r="AL49" t="s">
        <v>72</v>
      </c>
      <c r="AM49" t="s">
        <v>72</v>
      </c>
      <c r="AN49" t="s">
        <v>72</v>
      </c>
      <c r="AO49">
        <v>0</v>
      </c>
      <c r="AP49">
        <v>0</v>
      </c>
      <c r="AS49" t="s">
        <v>73</v>
      </c>
      <c r="AT49" t="s">
        <v>72</v>
      </c>
      <c r="AU49" t="s">
        <v>72</v>
      </c>
      <c r="AV49" t="s">
        <v>72</v>
      </c>
      <c r="AY49">
        <v>0</v>
      </c>
    </row>
    <row r="50" spans="1:51" x14ac:dyDescent="0.2">
      <c r="A50" t="s">
        <v>511</v>
      </c>
      <c r="B50" t="s">
        <v>239</v>
      </c>
      <c r="C50" t="s">
        <v>240</v>
      </c>
      <c r="D50" t="s">
        <v>241</v>
      </c>
      <c r="E50" t="s">
        <v>242</v>
      </c>
      <c r="F50" t="s">
        <v>243</v>
      </c>
      <c r="G50" t="s">
        <v>507</v>
      </c>
      <c r="H50" t="s">
        <v>508</v>
      </c>
      <c r="I50" t="s">
        <v>512</v>
      </c>
      <c r="J50" t="s">
        <v>510</v>
      </c>
      <c r="K50" t="s">
        <v>72</v>
      </c>
      <c r="O50" t="s">
        <v>510</v>
      </c>
      <c r="Q50">
        <v>0</v>
      </c>
      <c r="R50">
        <v>0</v>
      </c>
      <c r="U50" t="s">
        <v>73</v>
      </c>
      <c r="V50" t="s">
        <v>72</v>
      </c>
      <c r="W50" t="s">
        <v>72</v>
      </c>
      <c r="X50" t="s">
        <v>72</v>
      </c>
      <c r="Y50">
        <v>0</v>
      </c>
      <c r="Z50">
        <v>0</v>
      </c>
      <c r="AC50" t="s">
        <v>73</v>
      </c>
      <c r="AD50" t="s">
        <v>72</v>
      </c>
      <c r="AE50" t="s">
        <v>72</v>
      </c>
      <c r="AF50" t="s">
        <v>72</v>
      </c>
      <c r="AG50">
        <v>0</v>
      </c>
      <c r="AH50">
        <v>0</v>
      </c>
      <c r="AK50" t="s">
        <v>73</v>
      </c>
      <c r="AL50" t="s">
        <v>72</v>
      </c>
      <c r="AM50" t="s">
        <v>72</v>
      </c>
      <c r="AN50" t="s">
        <v>72</v>
      </c>
      <c r="AO50">
        <v>0</v>
      </c>
      <c r="AP50">
        <v>0</v>
      </c>
      <c r="AS50" t="s">
        <v>73</v>
      </c>
      <c r="AT50" t="s">
        <v>72</v>
      </c>
      <c r="AU50" t="s">
        <v>72</v>
      </c>
      <c r="AV50" t="s">
        <v>72</v>
      </c>
      <c r="AY50">
        <v>0</v>
      </c>
    </row>
    <row r="51" spans="1:51" x14ac:dyDescent="0.2">
      <c r="A51" t="s">
        <v>513</v>
      </c>
      <c r="B51" t="s">
        <v>239</v>
      </c>
      <c r="C51" t="s">
        <v>240</v>
      </c>
      <c r="D51" t="s">
        <v>241</v>
      </c>
      <c r="E51" t="s">
        <v>242</v>
      </c>
      <c r="F51" t="s">
        <v>243</v>
      </c>
      <c r="G51" t="s">
        <v>507</v>
      </c>
      <c r="H51" t="s">
        <v>508</v>
      </c>
      <c r="I51" t="s">
        <v>514</v>
      </c>
      <c r="J51" t="s">
        <v>510</v>
      </c>
      <c r="K51" t="s">
        <v>72</v>
      </c>
      <c r="O51" t="s">
        <v>510</v>
      </c>
      <c r="Q51">
        <v>0</v>
      </c>
      <c r="R51">
        <v>0</v>
      </c>
      <c r="U51" t="s">
        <v>73</v>
      </c>
      <c r="V51" t="s">
        <v>72</v>
      </c>
      <c r="W51" t="s">
        <v>72</v>
      </c>
      <c r="X51" t="s">
        <v>72</v>
      </c>
      <c r="Y51">
        <v>0</v>
      </c>
      <c r="Z51">
        <v>0</v>
      </c>
      <c r="AC51" t="s">
        <v>73</v>
      </c>
      <c r="AD51" t="s">
        <v>72</v>
      </c>
      <c r="AE51" t="s">
        <v>72</v>
      </c>
      <c r="AF51" t="s">
        <v>72</v>
      </c>
      <c r="AG51">
        <v>0</v>
      </c>
      <c r="AH51">
        <v>0</v>
      </c>
      <c r="AK51" t="s">
        <v>73</v>
      </c>
      <c r="AL51" t="s">
        <v>72</v>
      </c>
      <c r="AM51" t="s">
        <v>72</v>
      </c>
      <c r="AN51" t="s">
        <v>72</v>
      </c>
      <c r="AO51">
        <v>0</v>
      </c>
      <c r="AP51">
        <v>0</v>
      </c>
      <c r="AS51" t="s">
        <v>73</v>
      </c>
      <c r="AT51" t="s">
        <v>72</v>
      </c>
      <c r="AU51" t="s">
        <v>72</v>
      </c>
      <c r="AV51" t="s">
        <v>72</v>
      </c>
      <c r="AY51">
        <v>0</v>
      </c>
    </row>
    <row r="52" spans="1:51" x14ac:dyDescent="0.2">
      <c r="A52" t="s">
        <v>515</v>
      </c>
      <c r="B52" t="s">
        <v>239</v>
      </c>
      <c r="C52" t="s">
        <v>240</v>
      </c>
      <c r="D52" t="s">
        <v>241</v>
      </c>
      <c r="E52" t="s">
        <v>242</v>
      </c>
      <c r="F52" t="s">
        <v>243</v>
      </c>
      <c r="G52" t="s">
        <v>446</v>
      </c>
      <c r="H52" t="s">
        <v>447</v>
      </c>
      <c r="I52" t="s">
        <v>516</v>
      </c>
      <c r="J52" t="s">
        <v>450</v>
      </c>
      <c r="K52" t="s">
        <v>72</v>
      </c>
      <c r="O52" t="s">
        <v>450</v>
      </c>
      <c r="Q52">
        <v>0</v>
      </c>
      <c r="R52">
        <v>0</v>
      </c>
      <c r="U52" t="s">
        <v>73</v>
      </c>
      <c r="V52" t="s">
        <v>72</v>
      </c>
      <c r="W52" t="s">
        <v>72</v>
      </c>
      <c r="X52" t="s">
        <v>72</v>
      </c>
      <c r="Y52">
        <v>0</v>
      </c>
      <c r="Z52">
        <v>0</v>
      </c>
      <c r="AC52" t="s">
        <v>73</v>
      </c>
      <c r="AD52" t="s">
        <v>72</v>
      </c>
      <c r="AE52" t="s">
        <v>72</v>
      </c>
      <c r="AF52" t="s">
        <v>72</v>
      </c>
      <c r="AG52">
        <v>0</v>
      </c>
      <c r="AH52">
        <v>0</v>
      </c>
      <c r="AK52" t="s">
        <v>73</v>
      </c>
      <c r="AL52" t="s">
        <v>72</v>
      </c>
      <c r="AM52" t="s">
        <v>72</v>
      </c>
      <c r="AN52" t="s">
        <v>72</v>
      </c>
      <c r="AO52">
        <v>0</v>
      </c>
      <c r="AP52">
        <v>0</v>
      </c>
      <c r="AS52" t="s">
        <v>73</v>
      </c>
      <c r="AT52" t="s">
        <v>72</v>
      </c>
      <c r="AU52" t="s">
        <v>72</v>
      </c>
      <c r="AV52" t="s">
        <v>72</v>
      </c>
      <c r="AY52">
        <v>0</v>
      </c>
    </row>
    <row r="53" spans="1:51" x14ac:dyDescent="0.2">
      <c r="A53" t="s">
        <v>517</v>
      </c>
      <c r="B53" t="s">
        <v>239</v>
      </c>
      <c r="C53" t="s">
        <v>240</v>
      </c>
      <c r="D53" t="s">
        <v>266</v>
      </c>
      <c r="E53" t="s">
        <v>267</v>
      </c>
      <c r="F53" t="s">
        <v>268</v>
      </c>
      <c r="G53" t="s">
        <v>269</v>
      </c>
      <c r="H53" t="s">
        <v>270</v>
      </c>
      <c r="I53" t="s">
        <v>518</v>
      </c>
      <c r="J53" t="s">
        <v>274</v>
      </c>
      <c r="K53" t="s">
        <v>72</v>
      </c>
      <c r="O53" t="s">
        <v>274</v>
      </c>
      <c r="Q53">
        <v>0</v>
      </c>
      <c r="R53">
        <v>0</v>
      </c>
      <c r="U53" t="s">
        <v>73</v>
      </c>
      <c r="V53" t="s">
        <v>72</v>
      </c>
      <c r="W53" t="s">
        <v>72</v>
      </c>
      <c r="X53" t="s">
        <v>72</v>
      </c>
      <c r="Y53">
        <v>0</v>
      </c>
      <c r="Z53">
        <v>0</v>
      </c>
      <c r="AC53" t="s">
        <v>73</v>
      </c>
      <c r="AD53" t="s">
        <v>72</v>
      </c>
      <c r="AE53" t="s">
        <v>72</v>
      </c>
      <c r="AF53" t="s">
        <v>72</v>
      </c>
      <c r="AG53">
        <v>0</v>
      </c>
      <c r="AH53">
        <v>0</v>
      </c>
      <c r="AK53" t="s">
        <v>73</v>
      </c>
      <c r="AL53" t="s">
        <v>72</v>
      </c>
      <c r="AM53" t="s">
        <v>72</v>
      </c>
      <c r="AN53" t="s">
        <v>72</v>
      </c>
      <c r="AO53">
        <v>0</v>
      </c>
      <c r="AP53">
        <v>0</v>
      </c>
      <c r="AS53" t="s">
        <v>73</v>
      </c>
      <c r="AT53" t="s">
        <v>72</v>
      </c>
      <c r="AU53" t="s">
        <v>72</v>
      </c>
      <c r="AV53" t="s">
        <v>72</v>
      </c>
      <c r="AY53">
        <v>0</v>
      </c>
    </row>
    <row r="54" spans="1:51" x14ac:dyDescent="0.2">
      <c r="A54" t="s">
        <v>519</v>
      </c>
      <c r="B54" t="s">
        <v>239</v>
      </c>
      <c r="C54" t="s">
        <v>240</v>
      </c>
      <c r="D54" t="s">
        <v>266</v>
      </c>
      <c r="E54" t="s">
        <v>267</v>
      </c>
      <c r="F54" t="s">
        <v>268</v>
      </c>
      <c r="G54" t="s">
        <v>269</v>
      </c>
      <c r="H54" t="s">
        <v>270</v>
      </c>
      <c r="I54" t="s">
        <v>520</v>
      </c>
      <c r="J54" t="s">
        <v>274</v>
      </c>
      <c r="K54" t="s">
        <v>72</v>
      </c>
      <c r="O54" t="s">
        <v>274</v>
      </c>
      <c r="Q54">
        <v>0</v>
      </c>
      <c r="R54">
        <v>0</v>
      </c>
      <c r="U54" t="s">
        <v>73</v>
      </c>
      <c r="V54" t="s">
        <v>72</v>
      </c>
      <c r="W54" t="s">
        <v>72</v>
      </c>
      <c r="X54" t="s">
        <v>72</v>
      </c>
      <c r="Y54">
        <v>0</v>
      </c>
      <c r="Z54">
        <v>0</v>
      </c>
      <c r="AC54" t="s">
        <v>73</v>
      </c>
      <c r="AD54" t="s">
        <v>72</v>
      </c>
      <c r="AE54" t="s">
        <v>72</v>
      </c>
      <c r="AF54" t="s">
        <v>72</v>
      </c>
      <c r="AG54">
        <v>0</v>
      </c>
      <c r="AH54">
        <v>0</v>
      </c>
      <c r="AK54" t="s">
        <v>73</v>
      </c>
      <c r="AL54" t="s">
        <v>72</v>
      </c>
      <c r="AM54" t="s">
        <v>72</v>
      </c>
      <c r="AN54" t="s">
        <v>72</v>
      </c>
      <c r="AO54">
        <v>0</v>
      </c>
      <c r="AP54">
        <v>0</v>
      </c>
      <c r="AS54" t="s">
        <v>73</v>
      </c>
      <c r="AT54" t="s">
        <v>72</v>
      </c>
      <c r="AU54" t="s">
        <v>72</v>
      </c>
      <c r="AV54" t="s">
        <v>72</v>
      </c>
      <c r="AY54">
        <v>0</v>
      </c>
    </row>
    <row r="55" spans="1:51" x14ac:dyDescent="0.2">
      <c r="A55" t="s">
        <v>521</v>
      </c>
      <c r="B55" t="s">
        <v>239</v>
      </c>
      <c r="C55" t="s">
        <v>240</v>
      </c>
      <c r="D55" t="s">
        <v>266</v>
      </c>
      <c r="E55" t="s">
        <v>267</v>
      </c>
      <c r="F55" t="s">
        <v>268</v>
      </c>
      <c r="G55" t="s">
        <v>269</v>
      </c>
      <c r="H55" t="s">
        <v>270</v>
      </c>
      <c r="I55" t="s">
        <v>522</v>
      </c>
      <c r="J55" t="s">
        <v>274</v>
      </c>
      <c r="K55" t="s">
        <v>72</v>
      </c>
      <c r="O55" t="s">
        <v>274</v>
      </c>
      <c r="Q55">
        <v>0</v>
      </c>
      <c r="R55">
        <v>0</v>
      </c>
      <c r="U55" t="s">
        <v>73</v>
      </c>
      <c r="V55" t="s">
        <v>72</v>
      </c>
      <c r="W55" t="s">
        <v>72</v>
      </c>
      <c r="X55" t="s">
        <v>72</v>
      </c>
      <c r="Y55">
        <v>0</v>
      </c>
      <c r="Z55">
        <v>0</v>
      </c>
      <c r="AC55" t="s">
        <v>73</v>
      </c>
      <c r="AD55" t="s">
        <v>72</v>
      </c>
      <c r="AE55" t="s">
        <v>72</v>
      </c>
      <c r="AF55" t="s">
        <v>72</v>
      </c>
      <c r="AG55">
        <v>0</v>
      </c>
      <c r="AH55">
        <v>0</v>
      </c>
      <c r="AK55" t="s">
        <v>73</v>
      </c>
      <c r="AL55" t="s">
        <v>72</v>
      </c>
      <c r="AM55" t="s">
        <v>72</v>
      </c>
      <c r="AN55" t="s">
        <v>72</v>
      </c>
      <c r="AO55">
        <v>0</v>
      </c>
      <c r="AP55">
        <v>0</v>
      </c>
      <c r="AS55" t="s">
        <v>73</v>
      </c>
      <c r="AT55" t="s">
        <v>72</v>
      </c>
      <c r="AU55" t="s">
        <v>72</v>
      </c>
      <c r="AV55" t="s">
        <v>72</v>
      </c>
      <c r="AY55">
        <v>0</v>
      </c>
    </row>
    <row r="56" spans="1:51" x14ac:dyDescent="0.2">
      <c r="A56" t="s">
        <v>523</v>
      </c>
      <c r="B56" t="s">
        <v>239</v>
      </c>
      <c r="C56" t="s">
        <v>240</v>
      </c>
      <c r="D56" t="s">
        <v>266</v>
      </c>
      <c r="E56" t="s">
        <v>267</v>
      </c>
      <c r="F56" t="s">
        <v>268</v>
      </c>
      <c r="G56" t="s">
        <v>269</v>
      </c>
      <c r="H56" t="s">
        <v>270</v>
      </c>
      <c r="I56" t="s">
        <v>524</v>
      </c>
      <c r="J56" t="s">
        <v>274</v>
      </c>
      <c r="K56" t="s">
        <v>72</v>
      </c>
      <c r="O56" t="s">
        <v>274</v>
      </c>
      <c r="Q56">
        <v>0</v>
      </c>
      <c r="R56">
        <v>0</v>
      </c>
      <c r="U56" t="s">
        <v>73</v>
      </c>
      <c r="V56" t="s">
        <v>72</v>
      </c>
      <c r="W56" t="s">
        <v>72</v>
      </c>
      <c r="X56" t="s">
        <v>72</v>
      </c>
      <c r="Y56">
        <v>0</v>
      </c>
      <c r="Z56">
        <v>0</v>
      </c>
      <c r="AC56" t="s">
        <v>73</v>
      </c>
      <c r="AD56" t="s">
        <v>72</v>
      </c>
      <c r="AE56" t="s">
        <v>72</v>
      </c>
      <c r="AF56" t="s">
        <v>72</v>
      </c>
      <c r="AG56">
        <v>0</v>
      </c>
      <c r="AH56">
        <v>0</v>
      </c>
      <c r="AK56" t="s">
        <v>73</v>
      </c>
      <c r="AL56" t="s">
        <v>72</v>
      </c>
      <c r="AM56" t="s">
        <v>72</v>
      </c>
      <c r="AN56" t="s">
        <v>72</v>
      </c>
      <c r="AO56">
        <v>0</v>
      </c>
      <c r="AP56">
        <v>0</v>
      </c>
      <c r="AS56" t="s">
        <v>73</v>
      </c>
      <c r="AT56" t="s">
        <v>72</v>
      </c>
      <c r="AU56" t="s">
        <v>72</v>
      </c>
      <c r="AV56" t="s">
        <v>72</v>
      </c>
      <c r="AY56">
        <v>0</v>
      </c>
    </row>
    <row r="57" spans="1:51" x14ac:dyDescent="0.2">
      <c r="A57" t="s">
        <v>525</v>
      </c>
      <c r="B57" t="s">
        <v>239</v>
      </c>
      <c r="C57" t="s">
        <v>240</v>
      </c>
      <c r="D57" t="s">
        <v>266</v>
      </c>
      <c r="E57" t="s">
        <v>267</v>
      </c>
      <c r="F57" t="s">
        <v>268</v>
      </c>
      <c r="G57" t="s">
        <v>526</v>
      </c>
      <c r="H57" t="s">
        <v>527</v>
      </c>
      <c r="I57" t="s">
        <v>528</v>
      </c>
      <c r="J57" t="s">
        <v>529</v>
      </c>
      <c r="K57" t="s">
        <v>72</v>
      </c>
      <c r="O57" t="s">
        <v>529</v>
      </c>
      <c r="Q57">
        <v>0</v>
      </c>
      <c r="R57">
        <v>0</v>
      </c>
      <c r="U57" t="s">
        <v>73</v>
      </c>
      <c r="V57" t="s">
        <v>72</v>
      </c>
      <c r="W57" t="s">
        <v>72</v>
      </c>
      <c r="X57" t="s">
        <v>72</v>
      </c>
      <c r="Y57">
        <v>0</v>
      </c>
      <c r="Z57">
        <v>0</v>
      </c>
      <c r="AC57" t="s">
        <v>73</v>
      </c>
      <c r="AD57" t="s">
        <v>72</v>
      </c>
      <c r="AE57" t="s">
        <v>72</v>
      </c>
      <c r="AF57" t="s">
        <v>72</v>
      </c>
      <c r="AG57">
        <v>0</v>
      </c>
      <c r="AH57">
        <v>0</v>
      </c>
      <c r="AK57" t="s">
        <v>73</v>
      </c>
      <c r="AL57" t="s">
        <v>72</v>
      </c>
      <c r="AM57" t="s">
        <v>72</v>
      </c>
      <c r="AN57" t="s">
        <v>72</v>
      </c>
      <c r="AO57">
        <v>0</v>
      </c>
      <c r="AP57">
        <v>0</v>
      </c>
      <c r="AS57" t="s">
        <v>73</v>
      </c>
      <c r="AT57" t="s">
        <v>72</v>
      </c>
      <c r="AU57" t="s">
        <v>72</v>
      </c>
      <c r="AV57" t="s">
        <v>72</v>
      </c>
      <c r="AY57">
        <v>0</v>
      </c>
    </row>
    <row r="58" spans="1:51" x14ac:dyDescent="0.2">
      <c r="A58" t="s">
        <v>530</v>
      </c>
      <c r="B58" t="s">
        <v>239</v>
      </c>
      <c r="C58" t="s">
        <v>240</v>
      </c>
      <c r="D58" t="s">
        <v>266</v>
      </c>
      <c r="E58" t="s">
        <v>267</v>
      </c>
      <c r="F58" t="s">
        <v>268</v>
      </c>
      <c r="G58" t="s">
        <v>526</v>
      </c>
      <c r="H58" t="s">
        <v>527</v>
      </c>
      <c r="I58" t="s">
        <v>531</v>
      </c>
      <c r="J58" t="s">
        <v>529</v>
      </c>
      <c r="K58" t="s">
        <v>72</v>
      </c>
      <c r="O58" t="s">
        <v>529</v>
      </c>
      <c r="Q58">
        <v>0</v>
      </c>
      <c r="R58">
        <v>0</v>
      </c>
      <c r="U58" t="s">
        <v>73</v>
      </c>
      <c r="V58" t="s">
        <v>72</v>
      </c>
      <c r="W58" t="s">
        <v>72</v>
      </c>
      <c r="X58" t="s">
        <v>72</v>
      </c>
      <c r="Y58">
        <v>0</v>
      </c>
      <c r="Z58">
        <v>0</v>
      </c>
      <c r="AC58" t="s">
        <v>73</v>
      </c>
      <c r="AD58" t="s">
        <v>72</v>
      </c>
      <c r="AE58" t="s">
        <v>72</v>
      </c>
      <c r="AF58" t="s">
        <v>72</v>
      </c>
      <c r="AG58">
        <v>0</v>
      </c>
      <c r="AH58">
        <v>0</v>
      </c>
      <c r="AK58" t="s">
        <v>73</v>
      </c>
      <c r="AL58" t="s">
        <v>72</v>
      </c>
      <c r="AM58" t="s">
        <v>72</v>
      </c>
      <c r="AN58" t="s">
        <v>72</v>
      </c>
      <c r="AO58">
        <v>0</v>
      </c>
      <c r="AP58">
        <v>0</v>
      </c>
      <c r="AS58" t="s">
        <v>73</v>
      </c>
      <c r="AT58" t="s">
        <v>72</v>
      </c>
      <c r="AU58" t="s">
        <v>72</v>
      </c>
      <c r="AV58" t="s">
        <v>72</v>
      </c>
      <c r="AY58">
        <v>0</v>
      </c>
    </row>
    <row r="59" spans="1:51" x14ac:dyDescent="0.2">
      <c r="A59" t="s">
        <v>532</v>
      </c>
      <c r="B59" t="s">
        <v>239</v>
      </c>
      <c r="C59" t="s">
        <v>240</v>
      </c>
      <c r="D59" t="s">
        <v>266</v>
      </c>
      <c r="E59" t="s">
        <v>267</v>
      </c>
      <c r="F59" t="s">
        <v>268</v>
      </c>
      <c r="G59" t="s">
        <v>526</v>
      </c>
      <c r="H59" t="s">
        <v>527</v>
      </c>
      <c r="I59" t="s">
        <v>533</v>
      </c>
      <c r="J59" t="s">
        <v>529</v>
      </c>
      <c r="K59" t="s">
        <v>72</v>
      </c>
      <c r="O59" t="s">
        <v>529</v>
      </c>
      <c r="Q59">
        <v>0</v>
      </c>
      <c r="R59">
        <v>0</v>
      </c>
      <c r="U59" t="s">
        <v>73</v>
      </c>
      <c r="V59" t="s">
        <v>72</v>
      </c>
      <c r="W59" t="s">
        <v>72</v>
      </c>
      <c r="X59" t="s">
        <v>72</v>
      </c>
      <c r="Y59">
        <v>0</v>
      </c>
      <c r="Z59">
        <v>0</v>
      </c>
      <c r="AC59" t="s">
        <v>73</v>
      </c>
      <c r="AD59" t="s">
        <v>72</v>
      </c>
      <c r="AE59" t="s">
        <v>72</v>
      </c>
      <c r="AF59" t="s">
        <v>72</v>
      </c>
      <c r="AG59">
        <v>0</v>
      </c>
      <c r="AH59">
        <v>0</v>
      </c>
      <c r="AK59" t="s">
        <v>73</v>
      </c>
      <c r="AL59" t="s">
        <v>72</v>
      </c>
      <c r="AM59" t="s">
        <v>72</v>
      </c>
      <c r="AN59" t="s">
        <v>72</v>
      </c>
      <c r="AO59">
        <v>0</v>
      </c>
      <c r="AP59">
        <v>0</v>
      </c>
      <c r="AS59" t="s">
        <v>73</v>
      </c>
      <c r="AT59" t="s">
        <v>72</v>
      </c>
      <c r="AU59" t="s">
        <v>72</v>
      </c>
      <c r="AV59" t="s">
        <v>72</v>
      </c>
      <c r="AY59">
        <v>0</v>
      </c>
    </row>
    <row r="60" spans="1:51" x14ac:dyDescent="0.2">
      <c r="A60" t="s">
        <v>534</v>
      </c>
      <c r="B60" t="s">
        <v>239</v>
      </c>
      <c r="C60" t="s">
        <v>240</v>
      </c>
      <c r="D60" t="s">
        <v>266</v>
      </c>
      <c r="E60" t="s">
        <v>267</v>
      </c>
      <c r="F60" t="s">
        <v>268</v>
      </c>
      <c r="G60" t="s">
        <v>526</v>
      </c>
      <c r="H60" t="s">
        <v>527</v>
      </c>
      <c r="I60" t="s">
        <v>535</v>
      </c>
      <c r="J60" t="s">
        <v>529</v>
      </c>
      <c r="K60" t="s">
        <v>72</v>
      </c>
      <c r="O60" t="s">
        <v>529</v>
      </c>
      <c r="Q60">
        <v>0</v>
      </c>
      <c r="R60">
        <v>0</v>
      </c>
      <c r="U60" t="s">
        <v>73</v>
      </c>
      <c r="V60" t="s">
        <v>72</v>
      </c>
      <c r="W60" t="s">
        <v>72</v>
      </c>
      <c r="X60" t="s">
        <v>72</v>
      </c>
      <c r="Y60">
        <v>0</v>
      </c>
      <c r="Z60">
        <v>0</v>
      </c>
      <c r="AC60" t="s">
        <v>73</v>
      </c>
      <c r="AD60" t="s">
        <v>72</v>
      </c>
      <c r="AE60" t="s">
        <v>72</v>
      </c>
      <c r="AF60" t="s">
        <v>72</v>
      </c>
      <c r="AG60">
        <v>0</v>
      </c>
      <c r="AH60">
        <v>0</v>
      </c>
      <c r="AK60" t="s">
        <v>73</v>
      </c>
      <c r="AL60" t="s">
        <v>72</v>
      </c>
      <c r="AM60" t="s">
        <v>72</v>
      </c>
      <c r="AN60" t="s">
        <v>72</v>
      </c>
      <c r="AO60">
        <v>0</v>
      </c>
      <c r="AP60">
        <v>0</v>
      </c>
      <c r="AS60" t="s">
        <v>73</v>
      </c>
      <c r="AT60" t="s">
        <v>72</v>
      </c>
      <c r="AU60" t="s">
        <v>72</v>
      </c>
      <c r="AV60" t="s">
        <v>72</v>
      </c>
      <c r="AY60">
        <v>0</v>
      </c>
    </row>
    <row r="61" spans="1:51" x14ac:dyDescent="0.2">
      <c r="A61" t="s">
        <v>536</v>
      </c>
      <c r="B61" t="s">
        <v>239</v>
      </c>
      <c r="C61" t="s">
        <v>240</v>
      </c>
      <c r="D61" t="s">
        <v>266</v>
      </c>
      <c r="E61" t="s">
        <v>267</v>
      </c>
      <c r="F61" t="s">
        <v>268</v>
      </c>
      <c r="G61" t="s">
        <v>369</v>
      </c>
      <c r="H61" t="s">
        <v>370</v>
      </c>
      <c r="I61" t="s">
        <v>537</v>
      </c>
      <c r="J61" t="s">
        <v>373</v>
      </c>
      <c r="K61" t="s">
        <v>72</v>
      </c>
      <c r="O61" t="s">
        <v>373</v>
      </c>
      <c r="Q61">
        <v>0</v>
      </c>
      <c r="R61">
        <v>0</v>
      </c>
      <c r="U61" t="s">
        <v>73</v>
      </c>
      <c r="V61" t="s">
        <v>72</v>
      </c>
      <c r="W61" t="s">
        <v>72</v>
      </c>
      <c r="X61" t="s">
        <v>72</v>
      </c>
      <c r="Y61">
        <v>0</v>
      </c>
      <c r="Z61">
        <v>0</v>
      </c>
      <c r="AC61" t="s">
        <v>73</v>
      </c>
      <c r="AD61" t="s">
        <v>72</v>
      </c>
      <c r="AE61" t="s">
        <v>72</v>
      </c>
      <c r="AF61" t="s">
        <v>72</v>
      </c>
      <c r="AG61">
        <v>0</v>
      </c>
      <c r="AH61">
        <v>0</v>
      </c>
      <c r="AK61" t="s">
        <v>73</v>
      </c>
      <c r="AL61" t="s">
        <v>72</v>
      </c>
      <c r="AM61" t="s">
        <v>72</v>
      </c>
      <c r="AN61" t="s">
        <v>72</v>
      </c>
      <c r="AO61">
        <v>0</v>
      </c>
      <c r="AP61">
        <v>0</v>
      </c>
      <c r="AS61" t="s">
        <v>73</v>
      </c>
      <c r="AT61" t="s">
        <v>72</v>
      </c>
      <c r="AU61" t="s">
        <v>72</v>
      </c>
      <c r="AV61" t="s">
        <v>72</v>
      </c>
      <c r="AY61">
        <v>0</v>
      </c>
    </row>
    <row r="62" spans="1:51" x14ac:dyDescent="0.2">
      <c r="A62" t="s">
        <v>538</v>
      </c>
      <c r="B62" t="s">
        <v>239</v>
      </c>
      <c r="C62" t="s">
        <v>240</v>
      </c>
      <c r="D62" t="s">
        <v>266</v>
      </c>
      <c r="E62" t="s">
        <v>267</v>
      </c>
      <c r="F62" t="s">
        <v>268</v>
      </c>
      <c r="G62" t="s">
        <v>369</v>
      </c>
      <c r="H62" t="s">
        <v>370</v>
      </c>
      <c r="I62" t="s">
        <v>539</v>
      </c>
      <c r="J62" t="s">
        <v>373</v>
      </c>
      <c r="K62" t="s">
        <v>72</v>
      </c>
      <c r="O62" t="s">
        <v>373</v>
      </c>
      <c r="Q62">
        <v>0</v>
      </c>
      <c r="R62">
        <v>0</v>
      </c>
      <c r="U62" t="s">
        <v>73</v>
      </c>
      <c r="V62" t="s">
        <v>72</v>
      </c>
      <c r="W62" t="s">
        <v>72</v>
      </c>
      <c r="X62" t="s">
        <v>72</v>
      </c>
      <c r="Y62">
        <v>0</v>
      </c>
      <c r="Z62">
        <v>0</v>
      </c>
      <c r="AC62" t="s">
        <v>73</v>
      </c>
      <c r="AD62" t="s">
        <v>72</v>
      </c>
      <c r="AE62" t="s">
        <v>72</v>
      </c>
      <c r="AF62" t="s">
        <v>72</v>
      </c>
      <c r="AG62">
        <v>0</v>
      </c>
      <c r="AH62">
        <v>0</v>
      </c>
      <c r="AK62" t="s">
        <v>73</v>
      </c>
      <c r="AL62" t="s">
        <v>72</v>
      </c>
      <c r="AM62" t="s">
        <v>72</v>
      </c>
      <c r="AN62" t="s">
        <v>72</v>
      </c>
      <c r="AO62">
        <v>0</v>
      </c>
      <c r="AP62">
        <v>0</v>
      </c>
      <c r="AS62" t="s">
        <v>73</v>
      </c>
      <c r="AT62" t="s">
        <v>72</v>
      </c>
      <c r="AU62" t="s">
        <v>72</v>
      </c>
      <c r="AV62" t="s">
        <v>72</v>
      </c>
      <c r="AY62">
        <v>0</v>
      </c>
    </row>
    <row r="63" spans="1:51" x14ac:dyDescent="0.2">
      <c r="A63" t="s">
        <v>540</v>
      </c>
      <c r="B63" t="s">
        <v>239</v>
      </c>
      <c r="C63" t="s">
        <v>240</v>
      </c>
      <c r="D63" t="s">
        <v>266</v>
      </c>
      <c r="E63" t="s">
        <v>267</v>
      </c>
      <c r="F63" t="s">
        <v>268</v>
      </c>
      <c r="G63" t="s">
        <v>541</v>
      </c>
      <c r="H63" t="s">
        <v>542</v>
      </c>
      <c r="I63" t="s">
        <v>543</v>
      </c>
      <c r="J63" t="s">
        <v>544</v>
      </c>
      <c r="K63" t="s">
        <v>72</v>
      </c>
      <c r="O63" t="s">
        <v>544</v>
      </c>
      <c r="Q63">
        <v>0</v>
      </c>
      <c r="R63">
        <v>0</v>
      </c>
      <c r="U63" t="s">
        <v>73</v>
      </c>
      <c r="V63" t="s">
        <v>72</v>
      </c>
      <c r="W63" t="s">
        <v>72</v>
      </c>
      <c r="X63" t="s">
        <v>72</v>
      </c>
      <c r="Y63">
        <v>0</v>
      </c>
      <c r="Z63">
        <v>0</v>
      </c>
      <c r="AC63" t="s">
        <v>73</v>
      </c>
      <c r="AD63" t="s">
        <v>72</v>
      </c>
      <c r="AE63" t="s">
        <v>72</v>
      </c>
      <c r="AF63" t="s">
        <v>72</v>
      </c>
      <c r="AG63">
        <v>0</v>
      </c>
      <c r="AH63">
        <v>0</v>
      </c>
      <c r="AK63" t="s">
        <v>73</v>
      </c>
      <c r="AL63" t="s">
        <v>72</v>
      </c>
      <c r="AM63" t="s">
        <v>72</v>
      </c>
      <c r="AN63" t="s">
        <v>72</v>
      </c>
      <c r="AO63">
        <v>0</v>
      </c>
      <c r="AP63">
        <v>0</v>
      </c>
      <c r="AS63" t="s">
        <v>73</v>
      </c>
      <c r="AT63" t="s">
        <v>72</v>
      </c>
      <c r="AU63" t="s">
        <v>72</v>
      </c>
      <c r="AV63" t="s">
        <v>72</v>
      </c>
      <c r="AY63">
        <v>0</v>
      </c>
    </row>
    <row r="64" spans="1:51" x14ac:dyDescent="0.2">
      <c r="A64" t="s">
        <v>545</v>
      </c>
      <c r="B64" t="s">
        <v>239</v>
      </c>
      <c r="C64" t="s">
        <v>240</v>
      </c>
      <c r="D64" t="s">
        <v>266</v>
      </c>
      <c r="E64" t="s">
        <v>267</v>
      </c>
      <c r="F64" t="s">
        <v>268</v>
      </c>
      <c r="G64" t="s">
        <v>541</v>
      </c>
      <c r="H64" t="s">
        <v>542</v>
      </c>
      <c r="I64" t="s">
        <v>546</v>
      </c>
      <c r="J64" t="s">
        <v>544</v>
      </c>
      <c r="K64" t="s">
        <v>72</v>
      </c>
      <c r="O64" t="s">
        <v>544</v>
      </c>
      <c r="Q64">
        <v>0</v>
      </c>
      <c r="R64">
        <v>0</v>
      </c>
      <c r="U64" t="s">
        <v>73</v>
      </c>
      <c r="V64" t="s">
        <v>72</v>
      </c>
      <c r="W64" t="s">
        <v>72</v>
      </c>
      <c r="X64" t="s">
        <v>72</v>
      </c>
      <c r="Y64">
        <v>0</v>
      </c>
      <c r="Z64">
        <v>0</v>
      </c>
      <c r="AC64" t="s">
        <v>73</v>
      </c>
      <c r="AD64" t="s">
        <v>72</v>
      </c>
      <c r="AE64" t="s">
        <v>72</v>
      </c>
      <c r="AF64" t="s">
        <v>72</v>
      </c>
      <c r="AG64">
        <v>0</v>
      </c>
      <c r="AH64">
        <v>0</v>
      </c>
      <c r="AK64" t="s">
        <v>73</v>
      </c>
      <c r="AL64" t="s">
        <v>72</v>
      </c>
      <c r="AM64" t="s">
        <v>72</v>
      </c>
      <c r="AN64" t="s">
        <v>72</v>
      </c>
      <c r="AO64">
        <v>0</v>
      </c>
      <c r="AP64">
        <v>0</v>
      </c>
      <c r="AS64" t="s">
        <v>73</v>
      </c>
      <c r="AT64" t="s">
        <v>72</v>
      </c>
      <c r="AU64" t="s">
        <v>72</v>
      </c>
      <c r="AV64" t="s">
        <v>72</v>
      </c>
      <c r="AY64">
        <v>0</v>
      </c>
    </row>
    <row r="65" spans="1:51" x14ac:dyDescent="0.2">
      <c r="A65" t="s">
        <v>547</v>
      </c>
      <c r="B65" t="s">
        <v>239</v>
      </c>
      <c r="C65" t="s">
        <v>240</v>
      </c>
      <c r="D65" t="s">
        <v>266</v>
      </c>
      <c r="E65" t="s">
        <v>267</v>
      </c>
      <c r="F65" t="s">
        <v>268</v>
      </c>
      <c r="G65" t="s">
        <v>380</v>
      </c>
      <c r="H65" t="s">
        <v>381</v>
      </c>
      <c r="I65" t="s">
        <v>548</v>
      </c>
      <c r="J65" t="s">
        <v>384</v>
      </c>
      <c r="K65" t="s">
        <v>72</v>
      </c>
      <c r="O65" t="s">
        <v>384</v>
      </c>
      <c r="Q65">
        <v>0</v>
      </c>
      <c r="R65">
        <v>0</v>
      </c>
      <c r="U65" t="s">
        <v>73</v>
      </c>
      <c r="V65" t="s">
        <v>72</v>
      </c>
      <c r="W65" t="s">
        <v>72</v>
      </c>
      <c r="X65" t="s">
        <v>72</v>
      </c>
      <c r="Y65">
        <v>0</v>
      </c>
      <c r="Z65">
        <v>0</v>
      </c>
      <c r="AC65" t="s">
        <v>73</v>
      </c>
      <c r="AD65" t="s">
        <v>72</v>
      </c>
      <c r="AE65" t="s">
        <v>72</v>
      </c>
      <c r="AF65" t="s">
        <v>72</v>
      </c>
      <c r="AG65">
        <v>0</v>
      </c>
      <c r="AH65">
        <v>0</v>
      </c>
      <c r="AK65" t="s">
        <v>73</v>
      </c>
      <c r="AL65" t="s">
        <v>72</v>
      </c>
      <c r="AM65" t="s">
        <v>72</v>
      </c>
      <c r="AN65" t="s">
        <v>72</v>
      </c>
      <c r="AO65">
        <v>0</v>
      </c>
      <c r="AP65">
        <v>0</v>
      </c>
      <c r="AS65" t="s">
        <v>73</v>
      </c>
      <c r="AT65" t="s">
        <v>72</v>
      </c>
      <c r="AU65" t="s">
        <v>72</v>
      </c>
      <c r="AV65" t="s">
        <v>72</v>
      </c>
      <c r="AY65">
        <v>0</v>
      </c>
    </row>
    <row r="66" spans="1:51" x14ac:dyDescent="0.2">
      <c r="A66" t="s">
        <v>549</v>
      </c>
      <c r="B66" t="s">
        <v>239</v>
      </c>
      <c r="C66" t="s">
        <v>240</v>
      </c>
      <c r="D66" t="s">
        <v>266</v>
      </c>
      <c r="E66" t="s">
        <v>267</v>
      </c>
      <c r="F66" t="s">
        <v>268</v>
      </c>
      <c r="G66" t="s">
        <v>380</v>
      </c>
      <c r="H66" t="s">
        <v>381</v>
      </c>
      <c r="I66" t="s">
        <v>550</v>
      </c>
      <c r="J66" t="s">
        <v>384</v>
      </c>
      <c r="K66" t="s">
        <v>72</v>
      </c>
      <c r="O66" t="s">
        <v>384</v>
      </c>
      <c r="Q66">
        <v>0</v>
      </c>
      <c r="R66">
        <v>0</v>
      </c>
      <c r="U66" t="s">
        <v>73</v>
      </c>
      <c r="V66" t="s">
        <v>72</v>
      </c>
      <c r="W66" t="s">
        <v>72</v>
      </c>
      <c r="X66" t="s">
        <v>72</v>
      </c>
      <c r="Y66">
        <v>0</v>
      </c>
      <c r="Z66">
        <v>0</v>
      </c>
      <c r="AC66" t="s">
        <v>73</v>
      </c>
      <c r="AD66" t="s">
        <v>72</v>
      </c>
      <c r="AE66" t="s">
        <v>72</v>
      </c>
      <c r="AF66" t="s">
        <v>72</v>
      </c>
      <c r="AG66">
        <v>0</v>
      </c>
      <c r="AH66">
        <v>0</v>
      </c>
      <c r="AK66" t="s">
        <v>73</v>
      </c>
      <c r="AL66" t="s">
        <v>72</v>
      </c>
      <c r="AM66" t="s">
        <v>72</v>
      </c>
      <c r="AN66" t="s">
        <v>72</v>
      </c>
      <c r="AO66">
        <v>0</v>
      </c>
      <c r="AP66">
        <v>0</v>
      </c>
      <c r="AS66" t="s">
        <v>73</v>
      </c>
      <c r="AT66" t="s">
        <v>72</v>
      </c>
      <c r="AU66" t="s">
        <v>72</v>
      </c>
      <c r="AV66" t="s">
        <v>72</v>
      </c>
      <c r="AY66">
        <v>0</v>
      </c>
    </row>
    <row r="67" spans="1:51" x14ac:dyDescent="0.2">
      <c r="A67" t="s">
        <v>551</v>
      </c>
      <c r="B67" t="s">
        <v>239</v>
      </c>
      <c r="C67" t="s">
        <v>240</v>
      </c>
      <c r="D67" t="s">
        <v>266</v>
      </c>
      <c r="E67" t="s">
        <v>267</v>
      </c>
      <c r="F67" t="s">
        <v>268</v>
      </c>
      <c r="G67" t="s">
        <v>380</v>
      </c>
      <c r="H67" t="s">
        <v>381</v>
      </c>
      <c r="I67" t="s">
        <v>552</v>
      </c>
      <c r="J67" t="s">
        <v>384</v>
      </c>
      <c r="K67" t="s">
        <v>72</v>
      </c>
      <c r="O67" t="s">
        <v>384</v>
      </c>
      <c r="Q67">
        <v>0</v>
      </c>
      <c r="R67">
        <v>0</v>
      </c>
      <c r="U67" t="s">
        <v>73</v>
      </c>
      <c r="V67" t="s">
        <v>72</v>
      </c>
      <c r="W67" t="s">
        <v>72</v>
      </c>
      <c r="X67" t="s">
        <v>72</v>
      </c>
      <c r="Y67">
        <v>0</v>
      </c>
      <c r="Z67">
        <v>0</v>
      </c>
      <c r="AC67" t="s">
        <v>73</v>
      </c>
      <c r="AD67" t="s">
        <v>72</v>
      </c>
      <c r="AE67" t="s">
        <v>72</v>
      </c>
      <c r="AF67" t="s">
        <v>72</v>
      </c>
      <c r="AG67">
        <v>0</v>
      </c>
      <c r="AH67">
        <v>0</v>
      </c>
      <c r="AK67" t="s">
        <v>73</v>
      </c>
      <c r="AL67" t="s">
        <v>72</v>
      </c>
      <c r="AM67" t="s">
        <v>72</v>
      </c>
      <c r="AN67" t="s">
        <v>72</v>
      </c>
      <c r="AO67">
        <v>0</v>
      </c>
      <c r="AP67">
        <v>0</v>
      </c>
      <c r="AS67" t="s">
        <v>73</v>
      </c>
      <c r="AT67" t="s">
        <v>72</v>
      </c>
      <c r="AU67" t="s">
        <v>72</v>
      </c>
      <c r="AV67" t="s">
        <v>72</v>
      </c>
      <c r="AY67">
        <v>0</v>
      </c>
    </row>
    <row r="68" spans="1:51" x14ac:dyDescent="0.2">
      <c r="A68" t="s">
        <v>553</v>
      </c>
      <c r="B68" t="s">
        <v>239</v>
      </c>
      <c r="C68" t="s">
        <v>240</v>
      </c>
      <c r="D68" t="s">
        <v>266</v>
      </c>
      <c r="E68" t="s">
        <v>267</v>
      </c>
      <c r="F68" t="s">
        <v>268</v>
      </c>
      <c r="G68" t="s">
        <v>380</v>
      </c>
      <c r="H68" t="s">
        <v>381</v>
      </c>
      <c r="I68" t="s">
        <v>554</v>
      </c>
      <c r="J68" t="s">
        <v>384</v>
      </c>
      <c r="K68" t="s">
        <v>72</v>
      </c>
      <c r="O68" t="s">
        <v>384</v>
      </c>
      <c r="Q68">
        <v>0</v>
      </c>
      <c r="R68">
        <v>0</v>
      </c>
      <c r="U68" t="s">
        <v>73</v>
      </c>
      <c r="V68" t="s">
        <v>72</v>
      </c>
      <c r="W68" t="s">
        <v>72</v>
      </c>
      <c r="X68" t="s">
        <v>72</v>
      </c>
      <c r="Y68">
        <v>0</v>
      </c>
      <c r="Z68">
        <v>0</v>
      </c>
      <c r="AC68" t="s">
        <v>73</v>
      </c>
      <c r="AD68" t="s">
        <v>72</v>
      </c>
      <c r="AE68" t="s">
        <v>72</v>
      </c>
      <c r="AF68" t="s">
        <v>72</v>
      </c>
      <c r="AG68">
        <v>0</v>
      </c>
      <c r="AH68">
        <v>0</v>
      </c>
      <c r="AK68" t="s">
        <v>73</v>
      </c>
      <c r="AL68" t="s">
        <v>72</v>
      </c>
      <c r="AM68" t="s">
        <v>72</v>
      </c>
      <c r="AN68" t="s">
        <v>72</v>
      </c>
      <c r="AO68">
        <v>0</v>
      </c>
      <c r="AP68">
        <v>0</v>
      </c>
      <c r="AS68" t="s">
        <v>73</v>
      </c>
      <c r="AT68" t="s">
        <v>72</v>
      </c>
      <c r="AU68" t="s">
        <v>72</v>
      </c>
      <c r="AV68" t="s">
        <v>72</v>
      </c>
      <c r="AY68">
        <v>0</v>
      </c>
    </row>
    <row r="69" spans="1:51" x14ac:dyDescent="0.2">
      <c r="A69" t="s">
        <v>555</v>
      </c>
      <c r="B69" t="s">
        <v>54</v>
      </c>
      <c r="C69" t="s">
        <v>55</v>
      </c>
      <c r="D69" t="s">
        <v>76</v>
      </c>
      <c r="E69" t="s">
        <v>77</v>
      </c>
      <c r="F69" t="s">
        <v>78</v>
      </c>
      <c r="G69" t="s">
        <v>100</v>
      </c>
      <c r="H69" t="s">
        <v>101</v>
      </c>
      <c r="I69" t="s">
        <v>556</v>
      </c>
      <c r="J69" t="s">
        <v>104</v>
      </c>
      <c r="K69" t="s">
        <v>72</v>
      </c>
      <c r="O69" t="s">
        <v>104</v>
      </c>
      <c r="Q69">
        <v>0</v>
      </c>
      <c r="R69">
        <v>0</v>
      </c>
      <c r="U69" t="s">
        <v>73</v>
      </c>
      <c r="V69" t="s">
        <v>72</v>
      </c>
      <c r="W69" t="s">
        <v>72</v>
      </c>
      <c r="X69" t="s">
        <v>72</v>
      </c>
      <c r="Y69">
        <v>0</v>
      </c>
      <c r="Z69">
        <v>0</v>
      </c>
      <c r="AC69" t="s">
        <v>73</v>
      </c>
      <c r="AD69" t="s">
        <v>72</v>
      </c>
      <c r="AE69" t="s">
        <v>72</v>
      </c>
      <c r="AF69" t="s">
        <v>72</v>
      </c>
      <c r="AG69">
        <v>0</v>
      </c>
      <c r="AH69">
        <v>0</v>
      </c>
      <c r="AK69" t="s">
        <v>73</v>
      </c>
      <c r="AL69" t="s">
        <v>72</v>
      </c>
      <c r="AM69" t="s">
        <v>72</v>
      </c>
      <c r="AN69" t="s">
        <v>72</v>
      </c>
      <c r="AO69">
        <v>0</v>
      </c>
      <c r="AP69">
        <v>0</v>
      </c>
      <c r="AS69" t="s">
        <v>73</v>
      </c>
      <c r="AT69" t="s">
        <v>72</v>
      </c>
      <c r="AU69" t="s">
        <v>72</v>
      </c>
      <c r="AV69" t="s">
        <v>72</v>
      </c>
      <c r="AY69">
        <v>0</v>
      </c>
    </row>
    <row r="70" spans="1:51" x14ac:dyDescent="0.2">
      <c r="A70" t="s">
        <v>557</v>
      </c>
      <c r="B70" t="s">
        <v>54</v>
      </c>
      <c r="C70" t="s">
        <v>55</v>
      </c>
      <c r="D70" t="s">
        <v>76</v>
      </c>
      <c r="E70" t="s">
        <v>77</v>
      </c>
      <c r="F70" t="s">
        <v>78</v>
      </c>
      <c r="G70" t="s">
        <v>558</v>
      </c>
      <c r="H70" t="s">
        <v>559</v>
      </c>
      <c r="I70" t="s">
        <v>560</v>
      </c>
      <c r="J70" t="s">
        <v>561</v>
      </c>
      <c r="K70" t="s">
        <v>72</v>
      </c>
      <c r="O70" t="s">
        <v>561</v>
      </c>
      <c r="Q70">
        <v>0</v>
      </c>
      <c r="R70">
        <v>0</v>
      </c>
      <c r="U70" t="s">
        <v>73</v>
      </c>
      <c r="V70" t="s">
        <v>72</v>
      </c>
      <c r="W70" t="s">
        <v>72</v>
      </c>
      <c r="X70" t="s">
        <v>72</v>
      </c>
      <c r="Y70">
        <v>0</v>
      </c>
      <c r="Z70">
        <v>0</v>
      </c>
      <c r="AC70" t="s">
        <v>73</v>
      </c>
      <c r="AD70" t="s">
        <v>72</v>
      </c>
      <c r="AE70" t="s">
        <v>72</v>
      </c>
      <c r="AF70" t="s">
        <v>72</v>
      </c>
      <c r="AG70">
        <v>0</v>
      </c>
      <c r="AH70">
        <v>0</v>
      </c>
      <c r="AK70" t="s">
        <v>73</v>
      </c>
      <c r="AL70" t="s">
        <v>72</v>
      </c>
      <c r="AM70" t="s">
        <v>72</v>
      </c>
      <c r="AN70" t="s">
        <v>72</v>
      </c>
      <c r="AO70">
        <v>0</v>
      </c>
      <c r="AP70">
        <v>0</v>
      </c>
      <c r="AS70" t="s">
        <v>73</v>
      </c>
      <c r="AT70" t="s">
        <v>72</v>
      </c>
      <c r="AU70" t="s">
        <v>72</v>
      </c>
      <c r="AV70" t="s">
        <v>72</v>
      </c>
      <c r="AY70">
        <v>0</v>
      </c>
    </row>
    <row r="71" spans="1:51" x14ac:dyDescent="0.2">
      <c r="A71" t="s">
        <v>562</v>
      </c>
      <c r="B71" t="s">
        <v>54</v>
      </c>
      <c r="C71" t="s">
        <v>55</v>
      </c>
      <c r="D71" t="s">
        <v>76</v>
      </c>
      <c r="E71" t="s">
        <v>77</v>
      </c>
      <c r="F71" t="s">
        <v>78</v>
      </c>
      <c r="G71" t="s">
        <v>558</v>
      </c>
      <c r="H71" t="s">
        <v>559</v>
      </c>
      <c r="I71" t="s">
        <v>563</v>
      </c>
      <c r="J71" t="s">
        <v>561</v>
      </c>
      <c r="K71" t="s">
        <v>72</v>
      </c>
      <c r="O71" t="s">
        <v>561</v>
      </c>
      <c r="Q71">
        <v>0</v>
      </c>
      <c r="R71">
        <v>0</v>
      </c>
      <c r="U71" t="s">
        <v>73</v>
      </c>
      <c r="V71" t="s">
        <v>72</v>
      </c>
      <c r="W71" t="s">
        <v>72</v>
      </c>
      <c r="X71" t="s">
        <v>72</v>
      </c>
      <c r="Y71">
        <v>0</v>
      </c>
      <c r="Z71">
        <v>0</v>
      </c>
      <c r="AC71" t="s">
        <v>73</v>
      </c>
      <c r="AD71" t="s">
        <v>72</v>
      </c>
      <c r="AE71" t="s">
        <v>72</v>
      </c>
      <c r="AF71" t="s">
        <v>72</v>
      </c>
      <c r="AG71">
        <v>0</v>
      </c>
      <c r="AH71">
        <v>0</v>
      </c>
      <c r="AK71" t="s">
        <v>73</v>
      </c>
      <c r="AL71" t="s">
        <v>72</v>
      </c>
      <c r="AM71" t="s">
        <v>72</v>
      </c>
      <c r="AN71" t="s">
        <v>72</v>
      </c>
      <c r="AO71">
        <v>0</v>
      </c>
      <c r="AP71">
        <v>0</v>
      </c>
      <c r="AS71" t="s">
        <v>73</v>
      </c>
      <c r="AT71" t="s">
        <v>72</v>
      </c>
      <c r="AU71" t="s">
        <v>72</v>
      </c>
      <c r="AV71" t="s">
        <v>72</v>
      </c>
      <c r="AY71">
        <v>0</v>
      </c>
    </row>
    <row r="72" spans="1:51" x14ac:dyDescent="0.2">
      <c r="A72" t="s">
        <v>564</v>
      </c>
      <c r="B72" t="s">
        <v>54</v>
      </c>
      <c r="C72" t="s">
        <v>55</v>
      </c>
      <c r="D72" t="s">
        <v>76</v>
      </c>
      <c r="E72" t="s">
        <v>77</v>
      </c>
      <c r="F72" t="s">
        <v>78</v>
      </c>
      <c r="G72" t="s">
        <v>558</v>
      </c>
      <c r="H72" t="s">
        <v>559</v>
      </c>
      <c r="I72" t="s">
        <v>565</v>
      </c>
      <c r="J72" t="s">
        <v>561</v>
      </c>
      <c r="K72" t="s">
        <v>72</v>
      </c>
      <c r="O72" t="s">
        <v>561</v>
      </c>
      <c r="Q72">
        <v>0</v>
      </c>
      <c r="R72">
        <v>0</v>
      </c>
      <c r="U72" t="s">
        <v>73</v>
      </c>
      <c r="V72" t="s">
        <v>72</v>
      </c>
      <c r="W72" t="s">
        <v>72</v>
      </c>
      <c r="X72" t="s">
        <v>72</v>
      </c>
      <c r="Y72">
        <v>0</v>
      </c>
      <c r="Z72">
        <v>0</v>
      </c>
      <c r="AC72" t="s">
        <v>73</v>
      </c>
      <c r="AD72" t="s">
        <v>72</v>
      </c>
      <c r="AE72" t="s">
        <v>72</v>
      </c>
      <c r="AF72" t="s">
        <v>72</v>
      </c>
      <c r="AG72">
        <v>0</v>
      </c>
      <c r="AH72">
        <v>0</v>
      </c>
      <c r="AK72" t="s">
        <v>73</v>
      </c>
      <c r="AL72" t="s">
        <v>72</v>
      </c>
      <c r="AM72" t="s">
        <v>72</v>
      </c>
      <c r="AN72" t="s">
        <v>72</v>
      </c>
      <c r="AO72">
        <v>0</v>
      </c>
      <c r="AP72">
        <v>0</v>
      </c>
      <c r="AS72" t="s">
        <v>73</v>
      </c>
      <c r="AT72" t="s">
        <v>72</v>
      </c>
      <c r="AU72" t="s">
        <v>72</v>
      </c>
      <c r="AV72" t="s">
        <v>72</v>
      </c>
      <c r="AY72">
        <v>0</v>
      </c>
    </row>
    <row r="73" spans="1:51" x14ac:dyDescent="0.2">
      <c r="A73" t="s">
        <v>566</v>
      </c>
      <c r="B73" t="s">
        <v>54</v>
      </c>
      <c r="C73" t="s">
        <v>55</v>
      </c>
      <c r="D73" t="s">
        <v>76</v>
      </c>
      <c r="E73" t="s">
        <v>77</v>
      </c>
      <c r="F73" t="s">
        <v>78</v>
      </c>
      <c r="G73" t="s">
        <v>567</v>
      </c>
      <c r="H73" t="s">
        <v>568</v>
      </c>
      <c r="I73" t="s">
        <v>569</v>
      </c>
      <c r="J73" t="s">
        <v>570</v>
      </c>
      <c r="K73" t="s">
        <v>72</v>
      </c>
      <c r="O73" t="s">
        <v>570</v>
      </c>
      <c r="Q73">
        <v>0</v>
      </c>
      <c r="R73">
        <v>0</v>
      </c>
      <c r="U73" t="s">
        <v>73</v>
      </c>
      <c r="V73" t="s">
        <v>72</v>
      </c>
      <c r="W73" t="s">
        <v>72</v>
      </c>
      <c r="X73" t="s">
        <v>72</v>
      </c>
      <c r="Y73">
        <v>0</v>
      </c>
      <c r="Z73">
        <v>0</v>
      </c>
      <c r="AC73" t="s">
        <v>73</v>
      </c>
      <c r="AD73" t="s">
        <v>72</v>
      </c>
      <c r="AE73" t="s">
        <v>72</v>
      </c>
      <c r="AF73" t="s">
        <v>72</v>
      </c>
      <c r="AG73">
        <v>0</v>
      </c>
      <c r="AH73">
        <v>0</v>
      </c>
      <c r="AK73" t="s">
        <v>73</v>
      </c>
      <c r="AL73" t="s">
        <v>72</v>
      </c>
      <c r="AM73" t="s">
        <v>72</v>
      </c>
      <c r="AN73" t="s">
        <v>72</v>
      </c>
      <c r="AO73">
        <v>0</v>
      </c>
      <c r="AP73">
        <v>0</v>
      </c>
      <c r="AS73" t="s">
        <v>73</v>
      </c>
      <c r="AT73" t="s">
        <v>72</v>
      </c>
      <c r="AU73" t="s">
        <v>72</v>
      </c>
      <c r="AV73" t="s">
        <v>72</v>
      </c>
      <c r="AY73">
        <v>0</v>
      </c>
    </row>
    <row r="74" spans="1:51" x14ac:dyDescent="0.2">
      <c r="A74" t="s">
        <v>571</v>
      </c>
      <c r="B74" t="s">
        <v>54</v>
      </c>
      <c r="C74" t="s">
        <v>55</v>
      </c>
      <c r="D74" t="s">
        <v>76</v>
      </c>
      <c r="E74" t="s">
        <v>77</v>
      </c>
      <c r="F74" t="s">
        <v>78</v>
      </c>
      <c r="G74" t="s">
        <v>567</v>
      </c>
      <c r="H74" t="s">
        <v>568</v>
      </c>
      <c r="I74" t="s">
        <v>572</v>
      </c>
      <c r="J74" t="s">
        <v>570</v>
      </c>
      <c r="K74" t="s">
        <v>72</v>
      </c>
      <c r="O74" t="s">
        <v>570</v>
      </c>
      <c r="Q74">
        <v>0</v>
      </c>
      <c r="R74">
        <v>0</v>
      </c>
      <c r="U74" t="s">
        <v>73</v>
      </c>
      <c r="V74" t="s">
        <v>72</v>
      </c>
      <c r="W74" t="s">
        <v>72</v>
      </c>
      <c r="X74" t="s">
        <v>72</v>
      </c>
      <c r="Y74">
        <v>0</v>
      </c>
      <c r="Z74">
        <v>0</v>
      </c>
      <c r="AC74" t="s">
        <v>73</v>
      </c>
      <c r="AD74" t="s">
        <v>72</v>
      </c>
      <c r="AE74" t="s">
        <v>72</v>
      </c>
      <c r="AF74" t="s">
        <v>72</v>
      </c>
      <c r="AG74">
        <v>0</v>
      </c>
      <c r="AH74">
        <v>0</v>
      </c>
      <c r="AK74" t="s">
        <v>73</v>
      </c>
      <c r="AL74" t="s">
        <v>72</v>
      </c>
      <c r="AM74" t="s">
        <v>72</v>
      </c>
      <c r="AN74" t="s">
        <v>72</v>
      </c>
      <c r="AO74">
        <v>0</v>
      </c>
      <c r="AP74">
        <v>0</v>
      </c>
      <c r="AS74" t="s">
        <v>73</v>
      </c>
      <c r="AT74" t="s">
        <v>72</v>
      </c>
      <c r="AU74" t="s">
        <v>72</v>
      </c>
      <c r="AV74" t="s">
        <v>72</v>
      </c>
      <c r="AY74">
        <v>0</v>
      </c>
    </row>
    <row r="75" spans="1:51" x14ac:dyDescent="0.2">
      <c r="A75" t="s">
        <v>573</v>
      </c>
      <c r="B75" t="s">
        <v>54</v>
      </c>
      <c r="C75" t="s">
        <v>55</v>
      </c>
      <c r="D75" t="s">
        <v>76</v>
      </c>
      <c r="E75" t="s">
        <v>77</v>
      </c>
      <c r="F75" t="s">
        <v>78</v>
      </c>
      <c r="G75" t="s">
        <v>567</v>
      </c>
      <c r="H75" t="s">
        <v>568</v>
      </c>
      <c r="I75" t="s">
        <v>574</v>
      </c>
      <c r="J75" t="s">
        <v>570</v>
      </c>
      <c r="K75" t="s">
        <v>72</v>
      </c>
      <c r="O75" t="s">
        <v>570</v>
      </c>
      <c r="Q75">
        <v>0</v>
      </c>
      <c r="R75">
        <v>0</v>
      </c>
      <c r="U75" t="s">
        <v>73</v>
      </c>
      <c r="V75" t="s">
        <v>72</v>
      </c>
      <c r="W75" t="s">
        <v>72</v>
      </c>
      <c r="X75" t="s">
        <v>72</v>
      </c>
      <c r="Y75">
        <v>0</v>
      </c>
      <c r="Z75">
        <v>0</v>
      </c>
      <c r="AC75" t="s">
        <v>73</v>
      </c>
      <c r="AD75" t="s">
        <v>72</v>
      </c>
      <c r="AE75" t="s">
        <v>72</v>
      </c>
      <c r="AF75" t="s">
        <v>72</v>
      </c>
      <c r="AG75">
        <v>0</v>
      </c>
      <c r="AH75">
        <v>0</v>
      </c>
      <c r="AK75" t="s">
        <v>73</v>
      </c>
      <c r="AL75" t="s">
        <v>72</v>
      </c>
      <c r="AM75" t="s">
        <v>72</v>
      </c>
      <c r="AN75" t="s">
        <v>72</v>
      </c>
      <c r="AO75">
        <v>0</v>
      </c>
      <c r="AP75">
        <v>0</v>
      </c>
      <c r="AS75" t="s">
        <v>73</v>
      </c>
      <c r="AT75" t="s">
        <v>72</v>
      </c>
      <c r="AU75" t="s">
        <v>72</v>
      </c>
      <c r="AV75" t="s">
        <v>72</v>
      </c>
      <c r="AY75">
        <v>0</v>
      </c>
    </row>
    <row r="76" spans="1:51" x14ac:dyDescent="0.2">
      <c r="A76" t="s">
        <v>575</v>
      </c>
      <c r="B76" t="s">
        <v>54</v>
      </c>
      <c r="C76" t="s">
        <v>55</v>
      </c>
      <c r="D76" t="s">
        <v>76</v>
      </c>
      <c r="E76" t="s">
        <v>77</v>
      </c>
      <c r="F76" t="s">
        <v>78</v>
      </c>
      <c r="G76" t="s">
        <v>576</v>
      </c>
      <c r="H76" t="s">
        <v>577</v>
      </c>
      <c r="I76" t="s">
        <v>578</v>
      </c>
      <c r="J76" t="s">
        <v>579</v>
      </c>
      <c r="K76" t="s">
        <v>72</v>
      </c>
      <c r="O76" t="s">
        <v>579</v>
      </c>
      <c r="Q76">
        <v>0</v>
      </c>
      <c r="R76">
        <v>0</v>
      </c>
      <c r="U76" t="s">
        <v>73</v>
      </c>
      <c r="V76" t="s">
        <v>72</v>
      </c>
      <c r="W76" t="s">
        <v>72</v>
      </c>
      <c r="X76" t="s">
        <v>72</v>
      </c>
      <c r="Y76">
        <v>0</v>
      </c>
      <c r="Z76">
        <v>0</v>
      </c>
      <c r="AC76" t="s">
        <v>73</v>
      </c>
      <c r="AD76" t="s">
        <v>72</v>
      </c>
      <c r="AE76" t="s">
        <v>72</v>
      </c>
      <c r="AF76" t="s">
        <v>72</v>
      </c>
      <c r="AG76">
        <v>0</v>
      </c>
      <c r="AH76">
        <v>0</v>
      </c>
      <c r="AK76" t="s">
        <v>73</v>
      </c>
      <c r="AL76" t="s">
        <v>72</v>
      </c>
      <c r="AM76" t="s">
        <v>72</v>
      </c>
      <c r="AN76" t="s">
        <v>72</v>
      </c>
      <c r="AO76">
        <v>0</v>
      </c>
      <c r="AP76">
        <v>0</v>
      </c>
      <c r="AS76" t="s">
        <v>73</v>
      </c>
      <c r="AT76" t="s">
        <v>72</v>
      </c>
      <c r="AU76" t="s">
        <v>72</v>
      </c>
      <c r="AV76" t="s">
        <v>72</v>
      </c>
      <c r="AY76">
        <v>0</v>
      </c>
    </row>
    <row r="77" spans="1:51" x14ac:dyDescent="0.2">
      <c r="A77" t="s">
        <v>580</v>
      </c>
      <c r="B77" t="s">
        <v>54</v>
      </c>
      <c r="C77" t="s">
        <v>55</v>
      </c>
      <c r="D77" t="s">
        <v>76</v>
      </c>
      <c r="E77" t="s">
        <v>77</v>
      </c>
      <c r="F77" t="s">
        <v>78</v>
      </c>
      <c r="G77" t="s">
        <v>576</v>
      </c>
      <c r="H77" t="s">
        <v>577</v>
      </c>
      <c r="I77" t="s">
        <v>581</v>
      </c>
      <c r="J77" t="s">
        <v>579</v>
      </c>
      <c r="K77" t="s">
        <v>72</v>
      </c>
      <c r="O77" t="s">
        <v>579</v>
      </c>
      <c r="Q77">
        <v>0</v>
      </c>
      <c r="R77">
        <v>0</v>
      </c>
      <c r="U77" t="s">
        <v>73</v>
      </c>
      <c r="V77" t="s">
        <v>72</v>
      </c>
      <c r="W77" t="s">
        <v>72</v>
      </c>
      <c r="X77" t="s">
        <v>72</v>
      </c>
      <c r="Y77">
        <v>0</v>
      </c>
      <c r="Z77">
        <v>0</v>
      </c>
      <c r="AC77" t="s">
        <v>73</v>
      </c>
      <c r="AD77" t="s">
        <v>72</v>
      </c>
      <c r="AE77" t="s">
        <v>72</v>
      </c>
      <c r="AF77" t="s">
        <v>72</v>
      </c>
      <c r="AG77">
        <v>0</v>
      </c>
      <c r="AH77">
        <v>0</v>
      </c>
      <c r="AK77" t="s">
        <v>73</v>
      </c>
      <c r="AL77" t="s">
        <v>72</v>
      </c>
      <c r="AM77" t="s">
        <v>72</v>
      </c>
      <c r="AN77" t="s">
        <v>72</v>
      </c>
      <c r="AO77">
        <v>0</v>
      </c>
      <c r="AP77">
        <v>0</v>
      </c>
      <c r="AS77" t="s">
        <v>73</v>
      </c>
      <c r="AT77" t="s">
        <v>72</v>
      </c>
      <c r="AU77" t="s">
        <v>72</v>
      </c>
      <c r="AV77" t="s">
        <v>72</v>
      </c>
      <c r="AY77">
        <v>0</v>
      </c>
    </row>
    <row r="78" spans="1:51" x14ac:dyDescent="0.2">
      <c r="A78" t="s">
        <v>582</v>
      </c>
      <c r="B78" t="s">
        <v>54</v>
      </c>
      <c r="C78" t="s">
        <v>55</v>
      </c>
      <c r="D78" t="s">
        <v>108</v>
      </c>
      <c r="E78" t="s">
        <v>109</v>
      </c>
      <c r="F78" t="s">
        <v>110</v>
      </c>
      <c r="G78" t="s">
        <v>111</v>
      </c>
      <c r="H78" t="s">
        <v>112</v>
      </c>
      <c r="I78" t="s">
        <v>583</v>
      </c>
      <c r="J78" t="s">
        <v>115</v>
      </c>
      <c r="K78" t="s">
        <v>72</v>
      </c>
      <c r="O78" t="s">
        <v>115</v>
      </c>
      <c r="Q78">
        <v>0</v>
      </c>
      <c r="R78">
        <v>0</v>
      </c>
      <c r="U78" t="s">
        <v>73</v>
      </c>
      <c r="V78" t="s">
        <v>72</v>
      </c>
      <c r="W78" t="s">
        <v>72</v>
      </c>
      <c r="X78" t="s">
        <v>72</v>
      </c>
      <c r="Y78">
        <v>0</v>
      </c>
      <c r="Z78">
        <v>0</v>
      </c>
      <c r="AC78" t="s">
        <v>73</v>
      </c>
      <c r="AD78" t="s">
        <v>72</v>
      </c>
      <c r="AE78" t="s">
        <v>72</v>
      </c>
      <c r="AF78" t="s">
        <v>72</v>
      </c>
      <c r="AG78">
        <v>0</v>
      </c>
      <c r="AH78">
        <v>0</v>
      </c>
      <c r="AK78" t="s">
        <v>73</v>
      </c>
      <c r="AL78" t="s">
        <v>72</v>
      </c>
      <c r="AM78" t="s">
        <v>72</v>
      </c>
      <c r="AN78" t="s">
        <v>72</v>
      </c>
      <c r="AO78">
        <v>0</v>
      </c>
      <c r="AP78">
        <v>0</v>
      </c>
      <c r="AS78" t="s">
        <v>73</v>
      </c>
      <c r="AT78" t="s">
        <v>72</v>
      </c>
      <c r="AU78" t="s">
        <v>72</v>
      </c>
      <c r="AV78" t="s">
        <v>72</v>
      </c>
      <c r="AY78">
        <v>0</v>
      </c>
    </row>
    <row r="79" spans="1:51" x14ac:dyDescent="0.2">
      <c r="A79" t="s">
        <v>584</v>
      </c>
      <c r="B79" t="s">
        <v>54</v>
      </c>
      <c r="C79" t="s">
        <v>55</v>
      </c>
      <c r="D79" t="s">
        <v>108</v>
      </c>
      <c r="E79" t="s">
        <v>109</v>
      </c>
      <c r="F79" t="s">
        <v>110</v>
      </c>
      <c r="G79" t="s">
        <v>585</v>
      </c>
      <c r="H79" t="s">
        <v>586</v>
      </c>
      <c r="I79" t="s">
        <v>587</v>
      </c>
      <c r="J79" t="s">
        <v>588</v>
      </c>
      <c r="K79" t="s">
        <v>72</v>
      </c>
      <c r="O79" t="s">
        <v>588</v>
      </c>
      <c r="Q79">
        <v>0</v>
      </c>
      <c r="R79">
        <v>0</v>
      </c>
      <c r="U79" t="s">
        <v>73</v>
      </c>
      <c r="V79" t="s">
        <v>72</v>
      </c>
      <c r="W79" t="s">
        <v>72</v>
      </c>
      <c r="X79" t="s">
        <v>72</v>
      </c>
      <c r="Y79">
        <v>0</v>
      </c>
      <c r="Z79">
        <v>0</v>
      </c>
      <c r="AC79" t="s">
        <v>73</v>
      </c>
      <c r="AD79" t="s">
        <v>72</v>
      </c>
      <c r="AE79" t="s">
        <v>72</v>
      </c>
      <c r="AF79" t="s">
        <v>72</v>
      </c>
      <c r="AG79">
        <v>0</v>
      </c>
      <c r="AH79">
        <v>0</v>
      </c>
      <c r="AK79" t="s">
        <v>73</v>
      </c>
      <c r="AL79" t="s">
        <v>72</v>
      </c>
      <c r="AM79" t="s">
        <v>72</v>
      </c>
      <c r="AN79" t="s">
        <v>72</v>
      </c>
      <c r="AO79">
        <v>0</v>
      </c>
      <c r="AP79">
        <v>0</v>
      </c>
      <c r="AS79" t="s">
        <v>73</v>
      </c>
      <c r="AT79" t="s">
        <v>72</v>
      </c>
      <c r="AU79" t="s">
        <v>72</v>
      </c>
      <c r="AV79" t="s">
        <v>72</v>
      </c>
      <c r="AY79">
        <v>0</v>
      </c>
    </row>
    <row r="80" spans="1:51" x14ac:dyDescent="0.2">
      <c r="A80" t="s">
        <v>589</v>
      </c>
      <c r="B80" t="s">
        <v>54</v>
      </c>
      <c r="C80" t="s">
        <v>55</v>
      </c>
      <c r="D80" t="s">
        <v>108</v>
      </c>
      <c r="E80" t="s">
        <v>109</v>
      </c>
      <c r="F80" t="s">
        <v>110</v>
      </c>
      <c r="G80" t="s">
        <v>585</v>
      </c>
      <c r="H80" t="s">
        <v>586</v>
      </c>
      <c r="I80" t="s">
        <v>590</v>
      </c>
      <c r="J80" t="s">
        <v>588</v>
      </c>
      <c r="K80" t="s">
        <v>72</v>
      </c>
      <c r="O80" t="s">
        <v>588</v>
      </c>
      <c r="Q80">
        <v>0</v>
      </c>
      <c r="R80">
        <v>0</v>
      </c>
      <c r="U80" t="s">
        <v>73</v>
      </c>
      <c r="V80" t="s">
        <v>72</v>
      </c>
      <c r="W80" t="s">
        <v>72</v>
      </c>
      <c r="X80" t="s">
        <v>72</v>
      </c>
      <c r="Y80">
        <v>0</v>
      </c>
      <c r="Z80">
        <v>0</v>
      </c>
      <c r="AC80" t="s">
        <v>73</v>
      </c>
      <c r="AD80" t="s">
        <v>72</v>
      </c>
      <c r="AE80" t="s">
        <v>72</v>
      </c>
      <c r="AF80" t="s">
        <v>72</v>
      </c>
      <c r="AG80">
        <v>0</v>
      </c>
      <c r="AH80">
        <v>0</v>
      </c>
      <c r="AK80" t="s">
        <v>73</v>
      </c>
      <c r="AL80" t="s">
        <v>72</v>
      </c>
      <c r="AM80" t="s">
        <v>72</v>
      </c>
      <c r="AN80" t="s">
        <v>72</v>
      </c>
      <c r="AO80">
        <v>0</v>
      </c>
      <c r="AP80">
        <v>0</v>
      </c>
      <c r="AS80" t="s">
        <v>73</v>
      </c>
      <c r="AT80" t="s">
        <v>72</v>
      </c>
      <c r="AU80" t="s">
        <v>72</v>
      </c>
      <c r="AV80" t="s">
        <v>72</v>
      </c>
      <c r="AY80">
        <v>0</v>
      </c>
    </row>
    <row r="81" spans="1:51" x14ac:dyDescent="0.2">
      <c r="A81" t="s">
        <v>591</v>
      </c>
      <c r="B81" t="s">
        <v>54</v>
      </c>
      <c r="C81" t="s">
        <v>55</v>
      </c>
      <c r="D81" t="s">
        <v>108</v>
      </c>
      <c r="E81" t="s">
        <v>109</v>
      </c>
      <c r="F81" t="s">
        <v>110</v>
      </c>
      <c r="G81" t="s">
        <v>585</v>
      </c>
      <c r="H81" t="s">
        <v>586</v>
      </c>
      <c r="I81" t="s">
        <v>592</v>
      </c>
      <c r="J81" t="s">
        <v>588</v>
      </c>
      <c r="K81" t="s">
        <v>72</v>
      </c>
      <c r="O81" t="s">
        <v>588</v>
      </c>
      <c r="Q81">
        <v>0</v>
      </c>
      <c r="R81">
        <v>0</v>
      </c>
      <c r="U81" t="s">
        <v>73</v>
      </c>
      <c r="V81" t="s">
        <v>72</v>
      </c>
      <c r="W81" t="s">
        <v>72</v>
      </c>
      <c r="X81" t="s">
        <v>72</v>
      </c>
      <c r="Y81">
        <v>0</v>
      </c>
      <c r="Z81">
        <v>0</v>
      </c>
      <c r="AC81" t="s">
        <v>73</v>
      </c>
      <c r="AD81" t="s">
        <v>72</v>
      </c>
      <c r="AE81" t="s">
        <v>72</v>
      </c>
      <c r="AF81" t="s">
        <v>72</v>
      </c>
      <c r="AG81">
        <v>0</v>
      </c>
      <c r="AH81">
        <v>0</v>
      </c>
      <c r="AK81" t="s">
        <v>73</v>
      </c>
      <c r="AL81" t="s">
        <v>72</v>
      </c>
      <c r="AM81" t="s">
        <v>72</v>
      </c>
      <c r="AN81" t="s">
        <v>72</v>
      </c>
      <c r="AO81">
        <v>0</v>
      </c>
      <c r="AP81">
        <v>0</v>
      </c>
      <c r="AS81" t="s">
        <v>73</v>
      </c>
      <c r="AT81" t="s">
        <v>72</v>
      </c>
      <c r="AU81" t="s">
        <v>72</v>
      </c>
      <c r="AV81" t="s">
        <v>72</v>
      </c>
      <c r="AY81">
        <v>0</v>
      </c>
    </row>
    <row r="82" spans="1:51" x14ac:dyDescent="0.2">
      <c r="A82" t="s">
        <v>593</v>
      </c>
      <c r="B82" t="s">
        <v>54</v>
      </c>
      <c r="C82" t="s">
        <v>55</v>
      </c>
      <c r="D82" t="s">
        <v>108</v>
      </c>
      <c r="E82" t="s">
        <v>109</v>
      </c>
      <c r="F82" t="s">
        <v>110</v>
      </c>
      <c r="G82" t="s">
        <v>594</v>
      </c>
      <c r="H82" t="s">
        <v>595</v>
      </c>
      <c r="I82" t="s">
        <v>596</v>
      </c>
      <c r="J82" t="s">
        <v>597</v>
      </c>
      <c r="K82" t="s">
        <v>72</v>
      </c>
      <c r="O82" t="s">
        <v>597</v>
      </c>
      <c r="Q82">
        <v>0</v>
      </c>
      <c r="R82">
        <v>0</v>
      </c>
      <c r="U82" t="s">
        <v>73</v>
      </c>
      <c r="V82" t="s">
        <v>72</v>
      </c>
      <c r="W82" t="s">
        <v>72</v>
      </c>
      <c r="X82" t="s">
        <v>72</v>
      </c>
      <c r="Y82">
        <v>0</v>
      </c>
      <c r="Z82">
        <v>0</v>
      </c>
      <c r="AC82" t="s">
        <v>73</v>
      </c>
      <c r="AD82" t="s">
        <v>72</v>
      </c>
      <c r="AE82" t="s">
        <v>72</v>
      </c>
      <c r="AF82" t="s">
        <v>72</v>
      </c>
      <c r="AG82">
        <v>0</v>
      </c>
      <c r="AH82">
        <v>0</v>
      </c>
      <c r="AK82" t="s">
        <v>73</v>
      </c>
      <c r="AL82" t="s">
        <v>72</v>
      </c>
      <c r="AM82" t="s">
        <v>72</v>
      </c>
      <c r="AN82" t="s">
        <v>72</v>
      </c>
      <c r="AO82">
        <v>0</v>
      </c>
      <c r="AP82">
        <v>0</v>
      </c>
      <c r="AS82" t="s">
        <v>73</v>
      </c>
      <c r="AT82" t="s">
        <v>72</v>
      </c>
      <c r="AU82" t="s">
        <v>72</v>
      </c>
      <c r="AV82" t="s">
        <v>72</v>
      </c>
      <c r="AY82">
        <v>0</v>
      </c>
    </row>
    <row r="83" spans="1:51" x14ac:dyDescent="0.2">
      <c r="A83" t="s">
        <v>598</v>
      </c>
      <c r="B83" t="s">
        <v>54</v>
      </c>
      <c r="C83" t="s">
        <v>55</v>
      </c>
      <c r="D83" t="s">
        <v>108</v>
      </c>
      <c r="E83" t="s">
        <v>109</v>
      </c>
      <c r="F83" t="s">
        <v>110</v>
      </c>
      <c r="G83" t="s">
        <v>594</v>
      </c>
      <c r="H83" t="s">
        <v>595</v>
      </c>
      <c r="I83" t="s">
        <v>599</v>
      </c>
      <c r="J83" t="s">
        <v>597</v>
      </c>
      <c r="K83" t="s">
        <v>72</v>
      </c>
      <c r="O83" t="s">
        <v>597</v>
      </c>
      <c r="Q83">
        <v>0</v>
      </c>
      <c r="R83">
        <v>0</v>
      </c>
      <c r="U83" t="s">
        <v>73</v>
      </c>
      <c r="V83" t="s">
        <v>72</v>
      </c>
      <c r="W83" t="s">
        <v>72</v>
      </c>
      <c r="X83" t="s">
        <v>72</v>
      </c>
      <c r="Y83">
        <v>0</v>
      </c>
      <c r="Z83">
        <v>0</v>
      </c>
      <c r="AC83" t="s">
        <v>73</v>
      </c>
      <c r="AD83" t="s">
        <v>72</v>
      </c>
      <c r="AE83" t="s">
        <v>72</v>
      </c>
      <c r="AF83" t="s">
        <v>72</v>
      </c>
      <c r="AG83">
        <v>0</v>
      </c>
      <c r="AH83">
        <v>0</v>
      </c>
      <c r="AK83" t="s">
        <v>73</v>
      </c>
      <c r="AL83" t="s">
        <v>72</v>
      </c>
      <c r="AM83" t="s">
        <v>72</v>
      </c>
      <c r="AN83" t="s">
        <v>72</v>
      </c>
      <c r="AO83">
        <v>0</v>
      </c>
      <c r="AP83">
        <v>0</v>
      </c>
      <c r="AS83" t="s">
        <v>73</v>
      </c>
      <c r="AT83" t="s">
        <v>72</v>
      </c>
      <c r="AU83" t="s">
        <v>72</v>
      </c>
      <c r="AV83" t="s">
        <v>72</v>
      </c>
      <c r="AY83">
        <v>0</v>
      </c>
    </row>
    <row r="84" spans="1:51" x14ac:dyDescent="0.2">
      <c r="A84" t="s">
        <v>600</v>
      </c>
      <c r="B84" t="s">
        <v>54</v>
      </c>
      <c r="C84" t="s">
        <v>55</v>
      </c>
      <c r="D84" t="s">
        <v>108</v>
      </c>
      <c r="E84" t="s">
        <v>109</v>
      </c>
      <c r="F84" t="s">
        <v>110</v>
      </c>
      <c r="G84" t="s">
        <v>594</v>
      </c>
      <c r="H84" t="s">
        <v>595</v>
      </c>
      <c r="I84" t="s">
        <v>601</v>
      </c>
      <c r="J84" t="s">
        <v>597</v>
      </c>
      <c r="K84" t="s">
        <v>72</v>
      </c>
      <c r="O84" t="s">
        <v>597</v>
      </c>
      <c r="Q84">
        <v>0</v>
      </c>
      <c r="R84">
        <v>0</v>
      </c>
      <c r="U84" t="s">
        <v>73</v>
      </c>
      <c r="V84" t="s">
        <v>72</v>
      </c>
      <c r="W84" t="s">
        <v>72</v>
      </c>
      <c r="X84" t="s">
        <v>72</v>
      </c>
      <c r="Y84">
        <v>0</v>
      </c>
      <c r="Z84">
        <v>0</v>
      </c>
      <c r="AC84" t="s">
        <v>73</v>
      </c>
      <c r="AD84" t="s">
        <v>72</v>
      </c>
      <c r="AE84" t="s">
        <v>72</v>
      </c>
      <c r="AF84" t="s">
        <v>72</v>
      </c>
      <c r="AG84">
        <v>0</v>
      </c>
      <c r="AH84">
        <v>0</v>
      </c>
      <c r="AK84" t="s">
        <v>73</v>
      </c>
      <c r="AL84" t="s">
        <v>72</v>
      </c>
      <c r="AM84" t="s">
        <v>72</v>
      </c>
      <c r="AN84" t="s">
        <v>72</v>
      </c>
      <c r="AO84">
        <v>0</v>
      </c>
      <c r="AP84">
        <v>0</v>
      </c>
      <c r="AS84" t="s">
        <v>73</v>
      </c>
      <c r="AT84" t="s">
        <v>72</v>
      </c>
      <c r="AU84" t="s">
        <v>72</v>
      </c>
      <c r="AV84" t="s">
        <v>72</v>
      </c>
      <c r="AY84">
        <v>0</v>
      </c>
    </row>
    <row r="85" spans="1:51" x14ac:dyDescent="0.2">
      <c r="A85" t="s">
        <v>602</v>
      </c>
      <c r="B85" t="s">
        <v>54</v>
      </c>
      <c r="C85" t="s">
        <v>55</v>
      </c>
      <c r="D85" t="s">
        <v>603</v>
      </c>
      <c r="E85" t="s">
        <v>604</v>
      </c>
      <c r="F85" t="s">
        <v>605</v>
      </c>
      <c r="G85" t="s">
        <v>606</v>
      </c>
      <c r="H85" t="s">
        <v>607</v>
      </c>
      <c r="I85" t="s">
        <v>608</v>
      </c>
      <c r="J85" t="s">
        <v>609</v>
      </c>
      <c r="K85" t="s">
        <v>72</v>
      </c>
      <c r="O85" t="s">
        <v>609</v>
      </c>
      <c r="Q85">
        <v>0</v>
      </c>
      <c r="R85">
        <v>0</v>
      </c>
      <c r="U85" t="s">
        <v>73</v>
      </c>
      <c r="V85" t="s">
        <v>72</v>
      </c>
      <c r="W85" t="s">
        <v>72</v>
      </c>
      <c r="X85" t="s">
        <v>72</v>
      </c>
      <c r="Y85">
        <v>0</v>
      </c>
      <c r="Z85">
        <v>0</v>
      </c>
      <c r="AC85" t="s">
        <v>73</v>
      </c>
      <c r="AD85" t="s">
        <v>72</v>
      </c>
      <c r="AE85" t="s">
        <v>72</v>
      </c>
      <c r="AF85" t="s">
        <v>72</v>
      </c>
      <c r="AG85">
        <v>0</v>
      </c>
      <c r="AH85">
        <v>0</v>
      </c>
      <c r="AK85" t="s">
        <v>73</v>
      </c>
      <c r="AL85" t="s">
        <v>72</v>
      </c>
      <c r="AM85" t="s">
        <v>72</v>
      </c>
      <c r="AN85" t="s">
        <v>72</v>
      </c>
      <c r="AO85">
        <v>0</v>
      </c>
      <c r="AP85">
        <v>0</v>
      </c>
      <c r="AS85" t="s">
        <v>73</v>
      </c>
      <c r="AT85" t="s">
        <v>72</v>
      </c>
      <c r="AU85" t="s">
        <v>72</v>
      </c>
      <c r="AV85" t="s">
        <v>72</v>
      </c>
      <c r="AY85">
        <v>0</v>
      </c>
    </row>
    <row r="86" spans="1:51" x14ac:dyDescent="0.2">
      <c r="A86" t="s">
        <v>610</v>
      </c>
      <c r="B86" t="s">
        <v>54</v>
      </c>
      <c r="C86" t="s">
        <v>55</v>
      </c>
      <c r="D86" t="s">
        <v>603</v>
      </c>
      <c r="E86" t="s">
        <v>604</v>
      </c>
      <c r="F86" t="s">
        <v>605</v>
      </c>
      <c r="G86" t="s">
        <v>606</v>
      </c>
      <c r="H86" t="s">
        <v>607</v>
      </c>
      <c r="I86" t="s">
        <v>611</v>
      </c>
      <c r="J86" t="s">
        <v>609</v>
      </c>
      <c r="K86" t="s">
        <v>72</v>
      </c>
      <c r="O86" t="s">
        <v>609</v>
      </c>
      <c r="Q86">
        <v>0</v>
      </c>
      <c r="R86">
        <v>0</v>
      </c>
      <c r="U86" t="s">
        <v>73</v>
      </c>
      <c r="V86" t="s">
        <v>72</v>
      </c>
      <c r="W86" t="s">
        <v>72</v>
      </c>
      <c r="X86" t="s">
        <v>72</v>
      </c>
      <c r="Y86">
        <v>0</v>
      </c>
      <c r="Z86">
        <v>0</v>
      </c>
      <c r="AC86" t="s">
        <v>73</v>
      </c>
      <c r="AD86" t="s">
        <v>72</v>
      </c>
      <c r="AE86" t="s">
        <v>72</v>
      </c>
      <c r="AF86" t="s">
        <v>72</v>
      </c>
      <c r="AG86">
        <v>0</v>
      </c>
      <c r="AH86">
        <v>0</v>
      </c>
      <c r="AK86" t="s">
        <v>73</v>
      </c>
      <c r="AL86" t="s">
        <v>72</v>
      </c>
      <c r="AM86" t="s">
        <v>72</v>
      </c>
      <c r="AN86" t="s">
        <v>72</v>
      </c>
      <c r="AO86">
        <v>0</v>
      </c>
      <c r="AP86">
        <v>0</v>
      </c>
      <c r="AS86" t="s">
        <v>73</v>
      </c>
      <c r="AT86" t="s">
        <v>72</v>
      </c>
      <c r="AU86" t="s">
        <v>72</v>
      </c>
      <c r="AV86" t="s">
        <v>72</v>
      </c>
      <c r="AY86">
        <v>0</v>
      </c>
    </row>
    <row r="87" spans="1:51" x14ac:dyDescent="0.2">
      <c r="A87" t="s">
        <v>612</v>
      </c>
      <c r="B87" t="s">
        <v>54</v>
      </c>
      <c r="C87" t="s">
        <v>55</v>
      </c>
      <c r="D87" t="s">
        <v>603</v>
      </c>
      <c r="E87" t="s">
        <v>604</v>
      </c>
      <c r="F87" t="s">
        <v>605</v>
      </c>
      <c r="G87" t="s">
        <v>606</v>
      </c>
      <c r="H87" t="s">
        <v>607</v>
      </c>
      <c r="I87" t="s">
        <v>613</v>
      </c>
      <c r="J87" t="s">
        <v>609</v>
      </c>
      <c r="K87" t="s">
        <v>72</v>
      </c>
      <c r="O87" t="s">
        <v>609</v>
      </c>
      <c r="Q87">
        <v>0</v>
      </c>
      <c r="R87">
        <v>0</v>
      </c>
      <c r="U87" t="s">
        <v>73</v>
      </c>
      <c r="V87" t="s">
        <v>72</v>
      </c>
      <c r="W87" t="s">
        <v>72</v>
      </c>
      <c r="X87" t="s">
        <v>72</v>
      </c>
      <c r="Y87">
        <v>0</v>
      </c>
      <c r="Z87">
        <v>0</v>
      </c>
      <c r="AC87" t="s">
        <v>73</v>
      </c>
      <c r="AD87" t="s">
        <v>72</v>
      </c>
      <c r="AE87" t="s">
        <v>72</v>
      </c>
      <c r="AF87" t="s">
        <v>72</v>
      </c>
      <c r="AG87">
        <v>0</v>
      </c>
      <c r="AH87">
        <v>0</v>
      </c>
      <c r="AK87" t="s">
        <v>73</v>
      </c>
      <c r="AL87" t="s">
        <v>72</v>
      </c>
      <c r="AM87" t="s">
        <v>72</v>
      </c>
      <c r="AN87" t="s">
        <v>72</v>
      </c>
      <c r="AO87">
        <v>0</v>
      </c>
      <c r="AP87">
        <v>0</v>
      </c>
      <c r="AS87" t="s">
        <v>73</v>
      </c>
      <c r="AT87" t="s">
        <v>72</v>
      </c>
      <c r="AU87" t="s">
        <v>72</v>
      </c>
      <c r="AV87" t="s">
        <v>72</v>
      </c>
      <c r="AY87">
        <v>0</v>
      </c>
    </row>
    <row r="88" spans="1:51" x14ac:dyDescent="0.2">
      <c r="A88" t="s">
        <v>614</v>
      </c>
      <c r="B88" t="s">
        <v>54</v>
      </c>
      <c r="C88" t="s">
        <v>55</v>
      </c>
      <c r="D88" t="s">
        <v>603</v>
      </c>
      <c r="E88" t="s">
        <v>604</v>
      </c>
      <c r="F88" t="s">
        <v>605</v>
      </c>
      <c r="G88" t="s">
        <v>606</v>
      </c>
      <c r="H88" t="s">
        <v>607</v>
      </c>
      <c r="I88" t="s">
        <v>615</v>
      </c>
      <c r="J88" t="s">
        <v>609</v>
      </c>
      <c r="K88" t="s">
        <v>72</v>
      </c>
      <c r="O88" t="s">
        <v>609</v>
      </c>
      <c r="Q88">
        <v>0</v>
      </c>
      <c r="R88">
        <v>0</v>
      </c>
      <c r="U88" t="s">
        <v>73</v>
      </c>
      <c r="V88" t="s">
        <v>72</v>
      </c>
      <c r="W88" t="s">
        <v>72</v>
      </c>
      <c r="X88" t="s">
        <v>72</v>
      </c>
      <c r="Y88">
        <v>0</v>
      </c>
      <c r="Z88">
        <v>0</v>
      </c>
      <c r="AC88" t="s">
        <v>73</v>
      </c>
      <c r="AD88" t="s">
        <v>72</v>
      </c>
      <c r="AE88" t="s">
        <v>72</v>
      </c>
      <c r="AF88" t="s">
        <v>72</v>
      </c>
      <c r="AG88">
        <v>0</v>
      </c>
      <c r="AH88">
        <v>0</v>
      </c>
      <c r="AK88" t="s">
        <v>73</v>
      </c>
      <c r="AL88" t="s">
        <v>72</v>
      </c>
      <c r="AM88" t="s">
        <v>72</v>
      </c>
      <c r="AN88" t="s">
        <v>72</v>
      </c>
      <c r="AO88">
        <v>0</v>
      </c>
      <c r="AP88">
        <v>0</v>
      </c>
      <c r="AS88" t="s">
        <v>73</v>
      </c>
      <c r="AT88" t="s">
        <v>72</v>
      </c>
      <c r="AU88" t="s">
        <v>72</v>
      </c>
      <c r="AV88" t="s">
        <v>72</v>
      </c>
      <c r="AY88">
        <v>0</v>
      </c>
    </row>
    <row r="89" spans="1:51" x14ac:dyDescent="0.2">
      <c r="A89" t="s">
        <v>616</v>
      </c>
      <c r="B89" t="s">
        <v>54</v>
      </c>
      <c r="C89" t="s">
        <v>55</v>
      </c>
      <c r="D89" t="s">
        <v>603</v>
      </c>
      <c r="E89" t="s">
        <v>604</v>
      </c>
      <c r="F89" t="s">
        <v>605</v>
      </c>
      <c r="G89" t="s">
        <v>606</v>
      </c>
      <c r="H89" t="s">
        <v>607</v>
      </c>
      <c r="I89" t="s">
        <v>617</v>
      </c>
      <c r="J89" t="s">
        <v>609</v>
      </c>
      <c r="K89" t="s">
        <v>72</v>
      </c>
      <c r="O89" t="s">
        <v>609</v>
      </c>
      <c r="Q89">
        <v>0</v>
      </c>
      <c r="R89">
        <v>0</v>
      </c>
      <c r="U89" t="s">
        <v>73</v>
      </c>
      <c r="V89" t="s">
        <v>72</v>
      </c>
      <c r="W89" t="s">
        <v>72</v>
      </c>
      <c r="X89" t="s">
        <v>72</v>
      </c>
      <c r="Y89">
        <v>0</v>
      </c>
      <c r="Z89">
        <v>0</v>
      </c>
      <c r="AC89" t="s">
        <v>73</v>
      </c>
      <c r="AD89" t="s">
        <v>72</v>
      </c>
      <c r="AE89" t="s">
        <v>72</v>
      </c>
      <c r="AF89" t="s">
        <v>72</v>
      </c>
      <c r="AG89">
        <v>0</v>
      </c>
      <c r="AH89">
        <v>0</v>
      </c>
      <c r="AK89" t="s">
        <v>73</v>
      </c>
      <c r="AL89" t="s">
        <v>72</v>
      </c>
      <c r="AM89" t="s">
        <v>72</v>
      </c>
      <c r="AN89" t="s">
        <v>72</v>
      </c>
      <c r="AO89">
        <v>0</v>
      </c>
      <c r="AP89">
        <v>0</v>
      </c>
      <c r="AS89" t="s">
        <v>73</v>
      </c>
      <c r="AT89" t="s">
        <v>72</v>
      </c>
      <c r="AU89" t="s">
        <v>72</v>
      </c>
      <c r="AV89" t="s">
        <v>72</v>
      </c>
      <c r="AY89">
        <v>0</v>
      </c>
    </row>
    <row r="90" spans="1:51" x14ac:dyDescent="0.2">
      <c r="A90" t="s">
        <v>618</v>
      </c>
      <c r="B90" t="s">
        <v>54</v>
      </c>
      <c r="C90" t="s">
        <v>55</v>
      </c>
      <c r="D90" t="s">
        <v>603</v>
      </c>
      <c r="E90" t="s">
        <v>604</v>
      </c>
      <c r="F90" t="s">
        <v>605</v>
      </c>
      <c r="G90" t="s">
        <v>619</v>
      </c>
      <c r="H90" t="s">
        <v>620</v>
      </c>
      <c r="I90" t="s">
        <v>621</v>
      </c>
      <c r="J90" t="s">
        <v>609</v>
      </c>
      <c r="K90" t="s">
        <v>72</v>
      </c>
      <c r="O90" t="s">
        <v>609</v>
      </c>
      <c r="Q90">
        <v>0</v>
      </c>
      <c r="R90">
        <v>0</v>
      </c>
      <c r="U90" t="s">
        <v>73</v>
      </c>
      <c r="V90" t="s">
        <v>72</v>
      </c>
      <c r="W90" t="s">
        <v>72</v>
      </c>
      <c r="X90" t="s">
        <v>72</v>
      </c>
      <c r="Y90">
        <v>0</v>
      </c>
      <c r="Z90">
        <v>0</v>
      </c>
      <c r="AC90" t="s">
        <v>73</v>
      </c>
      <c r="AD90" t="s">
        <v>72</v>
      </c>
      <c r="AE90" t="s">
        <v>72</v>
      </c>
      <c r="AF90" t="s">
        <v>72</v>
      </c>
      <c r="AG90">
        <v>0</v>
      </c>
      <c r="AH90">
        <v>0</v>
      </c>
      <c r="AK90" t="s">
        <v>73</v>
      </c>
      <c r="AL90" t="s">
        <v>72</v>
      </c>
      <c r="AM90" t="s">
        <v>72</v>
      </c>
      <c r="AN90" t="s">
        <v>72</v>
      </c>
      <c r="AO90">
        <v>0</v>
      </c>
      <c r="AP90">
        <v>0</v>
      </c>
      <c r="AS90" t="s">
        <v>73</v>
      </c>
      <c r="AT90" t="s">
        <v>72</v>
      </c>
      <c r="AU90" t="s">
        <v>72</v>
      </c>
      <c r="AV90" t="s">
        <v>72</v>
      </c>
      <c r="AY90">
        <v>0</v>
      </c>
    </row>
    <row r="91" spans="1:51" x14ac:dyDescent="0.2">
      <c r="A91" t="s">
        <v>622</v>
      </c>
      <c r="B91" t="s">
        <v>54</v>
      </c>
      <c r="C91" t="s">
        <v>55</v>
      </c>
      <c r="D91" t="s">
        <v>603</v>
      </c>
      <c r="E91" t="s">
        <v>604</v>
      </c>
      <c r="F91" t="s">
        <v>605</v>
      </c>
      <c r="G91" t="s">
        <v>619</v>
      </c>
      <c r="H91" t="s">
        <v>620</v>
      </c>
      <c r="I91" t="s">
        <v>623</v>
      </c>
      <c r="J91" t="s">
        <v>609</v>
      </c>
      <c r="K91" t="s">
        <v>72</v>
      </c>
      <c r="O91" t="s">
        <v>609</v>
      </c>
      <c r="Q91">
        <v>0</v>
      </c>
      <c r="R91">
        <v>0</v>
      </c>
      <c r="U91" t="s">
        <v>73</v>
      </c>
      <c r="V91" t="s">
        <v>72</v>
      </c>
      <c r="W91" t="s">
        <v>72</v>
      </c>
      <c r="X91" t="s">
        <v>72</v>
      </c>
      <c r="Y91">
        <v>0</v>
      </c>
      <c r="Z91">
        <v>0</v>
      </c>
      <c r="AC91" t="s">
        <v>73</v>
      </c>
      <c r="AD91" t="s">
        <v>72</v>
      </c>
      <c r="AE91" t="s">
        <v>72</v>
      </c>
      <c r="AF91" t="s">
        <v>72</v>
      </c>
      <c r="AG91">
        <v>0</v>
      </c>
      <c r="AH91">
        <v>0</v>
      </c>
      <c r="AK91" t="s">
        <v>73</v>
      </c>
      <c r="AL91" t="s">
        <v>72</v>
      </c>
      <c r="AM91" t="s">
        <v>72</v>
      </c>
      <c r="AN91" t="s">
        <v>72</v>
      </c>
      <c r="AO91">
        <v>0</v>
      </c>
      <c r="AP91">
        <v>0</v>
      </c>
      <c r="AS91" t="s">
        <v>73</v>
      </c>
      <c r="AT91" t="s">
        <v>72</v>
      </c>
      <c r="AU91" t="s">
        <v>72</v>
      </c>
      <c r="AV91" t="s">
        <v>72</v>
      </c>
      <c r="AY91">
        <v>0</v>
      </c>
    </row>
    <row r="92" spans="1:51" x14ac:dyDescent="0.2">
      <c r="A92" t="s">
        <v>624</v>
      </c>
      <c r="B92" t="s">
        <v>54</v>
      </c>
      <c r="C92" t="s">
        <v>55</v>
      </c>
      <c r="D92" t="s">
        <v>603</v>
      </c>
      <c r="E92" t="s">
        <v>604</v>
      </c>
      <c r="F92" t="s">
        <v>605</v>
      </c>
      <c r="G92" t="s">
        <v>619</v>
      </c>
      <c r="H92" t="s">
        <v>620</v>
      </c>
      <c r="I92" t="s">
        <v>625</v>
      </c>
      <c r="J92" t="s">
        <v>609</v>
      </c>
      <c r="K92" t="s">
        <v>72</v>
      </c>
      <c r="O92" t="s">
        <v>609</v>
      </c>
      <c r="Q92">
        <v>0</v>
      </c>
      <c r="R92">
        <v>0</v>
      </c>
      <c r="U92" t="s">
        <v>73</v>
      </c>
      <c r="V92" t="s">
        <v>72</v>
      </c>
      <c r="W92" t="s">
        <v>72</v>
      </c>
      <c r="X92" t="s">
        <v>72</v>
      </c>
      <c r="Y92">
        <v>0</v>
      </c>
      <c r="Z92">
        <v>0</v>
      </c>
      <c r="AC92" t="s">
        <v>73</v>
      </c>
      <c r="AD92" t="s">
        <v>72</v>
      </c>
      <c r="AE92" t="s">
        <v>72</v>
      </c>
      <c r="AF92" t="s">
        <v>72</v>
      </c>
      <c r="AG92">
        <v>0</v>
      </c>
      <c r="AH92">
        <v>0</v>
      </c>
      <c r="AK92" t="s">
        <v>73</v>
      </c>
      <c r="AL92" t="s">
        <v>72</v>
      </c>
      <c r="AM92" t="s">
        <v>72</v>
      </c>
      <c r="AN92" t="s">
        <v>72</v>
      </c>
      <c r="AO92">
        <v>0</v>
      </c>
      <c r="AP92">
        <v>0</v>
      </c>
      <c r="AS92" t="s">
        <v>73</v>
      </c>
      <c r="AT92" t="s">
        <v>72</v>
      </c>
      <c r="AU92" t="s">
        <v>72</v>
      </c>
      <c r="AV92" t="s">
        <v>72</v>
      </c>
      <c r="AY92">
        <v>0</v>
      </c>
    </row>
    <row r="93" spans="1:51" x14ac:dyDescent="0.2">
      <c r="A93" t="s">
        <v>626</v>
      </c>
      <c r="B93" t="s">
        <v>54</v>
      </c>
      <c r="C93" t="s">
        <v>55</v>
      </c>
      <c r="D93" t="s">
        <v>603</v>
      </c>
      <c r="E93" t="s">
        <v>604</v>
      </c>
      <c r="F93" t="s">
        <v>605</v>
      </c>
      <c r="G93" t="s">
        <v>619</v>
      </c>
      <c r="H93" t="s">
        <v>620</v>
      </c>
      <c r="I93" t="s">
        <v>627</v>
      </c>
      <c r="J93" t="s">
        <v>609</v>
      </c>
      <c r="K93" t="s">
        <v>72</v>
      </c>
      <c r="O93" t="s">
        <v>609</v>
      </c>
      <c r="Q93">
        <v>0</v>
      </c>
      <c r="R93">
        <v>0</v>
      </c>
      <c r="U93" t="s">
        <v>73</v>
      </c>
      <c r="V93" t="s">
        <v>72</v>
      </c>
      <c r="W93" t="s">
        <v>72</v>
      </c>
      <c r="X93" t="s">
        <v>72</v>
      </c>
      <c r="Y93">
        <v>0</v>
      </c>
      <c r="Z93">
        <v>0</v>
      </c>
      <c r="AC93" t="s">
        <v>73</v>
      </c>
      <c r="AD93" t="s">
        <v>72</v>
      </c>
      <c r="AE93" t="s">
        <v>72</v>
      </c>
      <c r="AF93" t="s">
        <v>72</v>
      </c>
      <c r="AG93">
        <v>0</v>
      </c>
      <c r="AH93">
        <v>0</v>
      </c>
      <c r="AK93" t="s">
        <v>73</v>
      </c>
      <c r="AL93" t="s">
        <v>72</v>
      </c>
      <c r="AM93" t="s">
        <v>72</v>
      </c>
      <c r="AN93" t="s">
        <v>72</v>
      </c>
      <c r="AO93">
        <v>0</v>
      </c>
      <c r="AP93">
        <v>0</v>
      </c>
      <c r="AS93" t="s">
        <v>73</v>
      </c>
      <c r="AT93" t="s">
        <v>72</v>
      </c>
      <c r="AU93" t="s">
        <v>72</v>
      </c>
      <c r="AV93" t="s">
        <v>72</v>
      </c>
      <c r="AY93">
        <v>0</v>
      </c>
    </row>
    <row r="94" spans="1:51" x14ac:dyDescent="0.2">
      <c r="A94" t="s">
        <v>628</v>
      </c>
      <c r="B94" t="s">
        <v>54</v>
      </c>
      <c r="C94" t="s">
        <v>55</v>
      </c>
      <c r="D94" t="s">
        <v>120</v>
      </c>
      <c r="E94" t="s">
        <v>121</v>
      </c>
      <c r="F94" t="s">
        <v>122</v>
      </c>
      <c r="G94" t="s">
        <v>123</v>
      </c>
      <c r="H94" t="s">
        <v>124</v>
      </c>
      <c r="I94" t="s">
        <v>629</v>
      </c>
      <c r="J94" t="s">
        <v>127</v>
      </c>
      <c r="K94" t="s">
        <v>72</v>
      </c>
      <c r="O94" t="s">
        <v>127</v>
      </c>
      <c r="Q94">
        <v>0</v>
      </c>
      <c r="R94">
        <v>0</v>
      </c>
      <c r="U94" t="s">
        <v>73</v>
      </c>
      <c r="V94" t="s">
        <v>72</v>
      </c>
      <c r="W94" t="s">
        <v>72</v>
      </c>
      <c r="X94" t="s">
        <v>72</v>
      </c>
      <c r="Y94">
        <v>0</v>
      </c>
      <c r="Z94">
        <v>0</v>
      </c>
      <c r="AC94" t="s">
        <v>73</v>
      </c>
      <c r="AD94" t="s">
        <v>72</v>
      </c>
      <c r="AE94" t="s">
        <v>72</v>
      </c>
      <c r="AF94" t="s">
        <v>72</v>
      </c>
      <c r="AG94">
        <v>0</v>
      </c>
      <c r="AH94">
        <v>0</v>
      </c>
      <c r="AK94" t="s">
        <v>73</v>
      </c>
      <c r="AL94" t="s">
        <v>72</v>
      </c>
      <c r="AM94" t="s">
        <v>72</v>
      </c>
      <c r="AN94" t="s">
        <v>72</v>
      </c>
      <c r="AO94">
        <v>0</v>
      </c>
      <c r="AP94">
        <v>0</v>
      </c>
      <c r="AS94" t="s">
        <v>73</v>
      </c>
      <c r="AT94" t="s">
        <v>72</v>
      </c>
      <c r="AU94" t="s">
        <v>72</v>
      </c>
      <c r="AV94" t="s">
        <v>72</v>
      </c>
      <c r="AY94">
        <v>0</v>
      </c>
    </row>
    <row r="95" spans="1:51" x14ac:dyDescent="0.2">
      <c r="A95" t="s">
        <v>630</v>
      </c>
      <c r="B95" t="s">
        <v>54</v>
      </c>
      <c r="C95" t="s">
        <v>55</v>
      </c>
      <c r="D95" t="s">
        <v>120</v>
      </c>
      <c r="E95" t="s">
        <v>121</v>
      </c>
      <c r="F95" t="s">
        <v>122</v>
      </c>
      <c r="G95" t="s">
        <v>123</v>
      </c>
      <c r="H95" t="s">
        <v>124</v>
      </c>
      <c r="I95" t="s">
        <v>631</v>
      </c>
      <c r="J95" t="s">
        <v>127</v>
      </c>
      <c r="K95" t="s">
        <v>72</v>
      </c>
      <c r="O95" t="s">
        <v>127</v>
      </c>
      <c r="Q95">
        <v>0</v>
      </c>
      <c r="R95">
        <v>0</v>
      </c>
      <c r="U95" t="s">
        <v>73</v>
      </c>
      <c r="V95" t="s">
        <v>72</v>
      </c>
      <c r="W95" t="s">
        <v>72</v>
      </c>
      <c r="X95" t="s">
        <v>72</v>
      </c>
      <c r="Y95">
        <v>0</v>
      </c>
      <c r="Z95">
        <v>0</v>
      </c>
      <c r="AC95" t="s">
        <v>73</v>
      </c>
      <c r="AD95" t="s">
        <v>72</v>
      </c>
      <c r="AE95" t="s">
        <v>72</v>
      </c>
      <c r="AF95" t="s">
        <v>72</v>
      </c>
      <c r="AG95">
        <v>0</v>
      </c>
      <c r="AH95">
        <v>0</v>
      </c>
      <c r="AK95" t="s">
        <v>73</v>
      </c>
      <c r="AL95" t="s">
        <v>72</v>
      </c>
      <c r="AM95" t="s">
        <v>72</v>
      </c>
      <c r="AN95" t="s">
        <v>72</v>
      </c>
      <c r="AO95">
        <v>0</v>
      </c>
      <c r="AP95">
        <v>0</v>
      </c>
      <c r="AS95" t="s">
        <v>73</v>
      </c>
      <c r="AT95" t="s">
        <v>72</v>
      </c>
      <c r="AU95" t="s">
        <v>72</v>
      </c>
      <c r="AV95" t="s">
        <v>72</v>
      </c>
      <c r="AY95">
        <v>0</v>
      </c>
    </row>
    <row r="96" spans="1:51" x14ac:dyDescent="0.2">
      <c r="A96" t="s">
        <v>632</v>
      </c>
      <c r="B96" t="s">
        <v>54</v>
      </c>
      <c r="C96" t="s">
        <v>55</v>
      </c>
      <c r="D96" t="s">
        <v>120</v>
      </c>
      <c r="E96" t="s">
        <v>121</v>
      </c>
      <c r="F96" t="s">
        <v>122</v>
      </c>
      <c r="G96" t="s">
        <v>633</v>
      </c>
      <c r="H96" t="s">
        <v>634</v>
      </c>
      <c r="I96" t="s">
        <v>635</v>
      </c>
      <c r="J96" t="s">
        <v>636</v>
      </c>
      <c r="K96" t="s">
        <v>72</v>
      </c>
      <c r="O96" t="s">
        <v>636</v>
      </c>
      <c r="Q96">
        <v>0</v>
      </c>
      <c r="R96">
        <v>0</v>
      </c>
      <c r="U96" t="s">
        <v>73</v>
      </c>
      <c r="V96" t="s">
        <v>72</v>
      </c>
      <c r="W96" t="s">
        <v>72</v>
      </c>
      <c r="X96" t="s">
        <v>72</v>
      </c>
      <c r="Y96">
        <v>0</v>
      </c>
      <c r="Z96">
        <v>0</v>
      </c>
      <c r="AC96" t="s">
        <v>73</v>
      </c>
      <c r="AD96" t="s">
        <v>72</v>
      </c>
      <c r="AE96" t="s">
        <v>72</v>
      </c>
      <c r="AF96" t="s">
        <v>72</v>
      </c>
      <c r="AG96">
        <v>0</v>
      </c>
      <c r="AH96">
        <v>0</v>
      </c>
      <c r="AK96" t="s">
        <v>73</v>
      </c>
      <c r="AL96" t="s">
        <v>72</v>
      </c>
      <c r="AM96" t="s">
        <v>72</v>
      </c>
      <c r="AN96" t="s">
        <v>72</v>
      </c>
      <c r="AO96">
        <v>0</v>
      </c>
      <c r="AP96">
        <v>0</v>
      </c>
      <c r="AS96" t="s">
        <v>73</v>
      </c>
      <c r="AT96" t="s">
        <v>72</v>
      </c>
      <c r="AU96" t="s">
        <v>72</v>
      </c>
      <c r="AV96" t="s">
        <v>72</v>
      </c>
      <c r="AY96">
        <v>0</v>
      </c>
    </row>
    <row r="97" spans="1:51" x14ac:dyDescent="0.2">
      <c r="A97" t="s">
        <v>637</v>
      </c>
      <c r="B97" t="s">
        <v>54</v>
      </c>
      <c r="C97" t="s">
        <v>55</v>
      </c>
      <c r="D97" t="s">
        <v>120</v>
      </c>
      <c r="E97" t="s">
        <v>121</v>
      </c>
      <c r="F97" t="s">
        <v>122</v>
      </c>
      <c r="G97" t="s">
        <v>633</v>
      </c>
      <c r="H97" t="s">
        <v>634</v>
      </c>
      <c r="I97" t="s">
        <v>638</v>
      </c>
      <c r="J97" t="s">
        <v>636</v>
      </c>
      <c r="K97" t="s">
        <v>72</v>
      </c>
      <c r="O97" t="s">
        <v>636</v>
      </c>
      <c r="Q97">
        <v>0</v>
      </c>
      <c r="R97">
        <v>0</v>
      </c>
      <c r="U97" t="s">
        <v>73</v>
      </c>
      <c r="V97" t="s">
        <v>72</v>
      </c>
      <c r="W97" t="s">
        <v>72</v>
      </c>
      <c r="X97" t="s">
        <v>72</v>
      </c>
      <c r="Y97">
        <v>0</v>
      </c>
      <c r="Z97">
        <v>0</v>
      </c>
      <c r="AC97" t="s">
        <v>73</v>
      </c>
      <c r="AD97" t="s">
        <v>72</v>
      </c>
      <c r="AE97" t="s">
        <v>72</v>
      </c>
      <c r="AF97" t="s">
        <v>72</v>
      </c>
      <c r="AG97">
        <v>0</v>
      </c>
      <c r="AH97">
        <v>0</v>
      </c>
      <c r="AK97" t="s">
        <v>73</v>
      </c>
      <c r="AL97" t="s">
        <v>72</v>
      </c>
      <c r="AM97" t="s">
        <v>72</v>
      </c>
      <c r="AN97" t="s">
        <v>72</v>
      </c>
      <c r="AO97">
        <v>0</v>
      </c>
      <c r="AP97">
        <v>0</v>
      </c>
      <c r="AS97" t="s">
        <v>73</v>
      </c>
      <c r="AT97" t="s">
        <v>72</v>
      </c>
      <c r="AU97" t="s">
        <v>72</v>
      </c>
      <c r="AV97" t="s">
        <v>72</v>
      </c>
      <c r="AY97">
        <v>0</v>
      </c>
    </row>
    <row r="98" spans="1:51" x14ac:dyDescent="0.2">
      <c r="A98" t="s">
        <v>639</v>
      </c>
      <c r="B98" t="s">
        <v>54</v>
      </c>
      <c r="C98" t="s">
        <v>55</v>
      </c>
      <c r="D98" t="s">
        <v>120</v>
      </c>
      <c r="E98" t="s">
        <v>121</v>
      </c>
      <c r="F98" t="s">
        <v>122</v>
      </c>
      <c r="G98" t="s">
        <v>633</v>
      </c>
      <c r="H98" t="s">
        <v>634</v>
      </c>
      <c r="I98" t="s">
        <v>640</v>
      </c>
      <c r="J98" t="s">
        <v>636</v>
      </c>
      <c r="K98" t="s">
        <v>72</v>
      </c>
      <c r="O98" t="s">
        <v>636</v>
      </c>
      <c r="Q98">
        <v>0</v>
      </c>
      <c r="R98">
        <v>0</v>
      </c>
      <c r="U98" t="s">
        <v>73</v>
      </c>
      <c r="V98" t="s">
        <v>72</v>
      </c>
      <c r="W98" t="s">
        <v>72</v>
      </c>
      <c r="X98" t="s">
        <v>72</v>
      </c>
      <c r="Y98">
        <v>0</v>
      </c>
      <c r="Z98">
        <v>0</v>
      </c>
      <c r="AC98" t="s">
        <v>73</v>
      </c>
      <c r="AD98" t="s">
        <v>72</v>
      </c>
      <c r="AE98" t="s">
        <v>72</v>
      </c>
      <c r="AF98" t="s">
        <v>72</v>
      </c>
      <c r="AG98">
        <v>0</v>
      </c>
      <c r="AH98">
        <v>0</v>
      </c>
      <c r="AK98" t="s">
        <v>73</v>
      </c>
      <c r="AL98" t="s">
        <v>72</v>
      </c>
      <c r="AM98" t="s">
        <v>72</v>
      </c>
      <c r="AN98" t="s">
        <v>72</v>
      </c>
      <c r="AO98">
        <v>0</v>
      </c>
      <c r="AP98">
        <v>0</v>
      </c>
      <c r="AS98" t="s">
        <v>73</v>
      </c>
      <c r="AT98" t="s">
        <v>72</v>
      </c>
      <c r="AU98" t="s">
        <v>72</v>
      </c>
      <c r="AV98" t="s">
        <v>72</v>
      </c>
      <c r="AY98">
        <v>0</v>
      </c>
    </row>
    <row r="99" spans="1:51" x14ac:dyDescent="0.2">
      <c r="A99" t="s">
        <v>641</v>
      </c>
      <c r="B99" t="s">
        <v>54</v>
      </c>
      <c r="C99" t="s">
        <v>55</v>
      </c>
      <c r="D99" t="s">
        <v>120</v>
      </c>
      <c r="E99" t="s">
        <v>121</v>
      </c>
      <c r="F99" t="s">
        <v>122</v>
      </c>
      <c r="G99" t="s">
        <v>642</v>
      </c>
      <c r="H99" t="s">
        <v>643</v>
      </c>
      <c r="I99" t="s">
        <v>644</v>
      </c>
      <c r="J99" t="s">
        <v>645</v>
      </c>
      <c r="K99" t="s">
        <v>72</v>
      </c>
      <c r="O99" t="s">
        <v>645</v>
      </c>
      <c r="Q99">
        <v>0</v>
      </c>
      <c r="R99">
        <v>0</v>
      </c>
      <c r="U99" t="s">
        <v>73</v>
      </c>
      <c r="V99" t="s">
        <v>72</v>
      </c>
      <c r="W99" t="s">
        <v>72</v>
      </c>
      <c r="X99" t="s">
        <v>72</v>
      </c>
      <c r="Y99">
        <v>0</v>
      </c>
      <c r="Z99">
        <v>0</v>
      </c>
      <c r="AC99" t="s">
        <v>73</v>
      </c>
      <c r="AD99" t="s">
        <v>72</v>
      </c>
      <c r="AE99" t="s">
        <v>72</v>
      </c>
      <c r="AF99" t="s">
        <v>72</v>
      </c>
      <c r="AG99">
        <v>0</v>
      </c>
      <c r="AH99">
        <v>0</v>
      </c>
      <c r="AK99" t="s">
        <v>73</v>
      </c>
      <c r="AL99" t="s">
        <v>72</v>
      </c>
      <c r="AM99" t="s">
        <v>72</v>
      </c>
      <c r="AN99" t="s">
        <v>72</v>
      </c>
      <c r="AO99">
        <v>0</v>
      </c>
      <c r="AP99">
        <v>0</v>
      </c>
      <c r="AS99" t="s">
        <v>73</v>
      </c>
      <c r="AT99" t="s">
        <v>72</v>
      </c>
      <c r="AU99" t="s">
        <v>72</v>
      </c>
      <c r="AV99" t="s">
        <v>72</v>
      </c>
      <c r="AY99">
        <v>0</v>
      </c>
    </row>
    <row r="100" spans="1:51" x14ac:dyDescent="0.2">
      <c r="A100" t="s">
        <v>646</v>
      </c>
      <c r="B100" t="s">
        <v>54</v>
      </c>
      <c r="C100" t="s">
        <v>55</v>
      </c>
      <c r="D100" t="s">
        <v>120</v>
      </c>
      <c r="E100" t="s">
        <v>121</v>
      </c>
      <c r="F100" t="s">
        <v>122</v>
      </c>
      <c r="G100" t="s">
        <v>642</v>
      </c>
      <c r="H100" t="s">
        <v>643</v>
      </c>
      <c r="I100" t="s">
        <v>647</v>
      </c>
      <c r="J100" t="s">
        <v>645</v>
      </c>
      <c r="K100" t="s">
        <v>72</v>
      </c>
      <c r="O100" t="s">
        <v>645</v>
      </c>
      <c r="Q100">
        <v>0</v>
      </c>
      <c r="R100">
        <v>0</v>
      </c>
      <c r="U100" t="s">
        <v>73</v>
      </c>
      <c r="V100" t="s">
        <v>72</v>
      </c>
      <c r="W100" t="s">
        <v>72</v>
      </c>
      <c r="X100" t="s">
        <v>72</v>
      </c>
      <c r="Y100">
        <v>0</v>
      </c>
      <c r="Z100">
        <v>0</v>
      </c>
      <c r="AC100" t="s">
        <v>73</v>
      </c>
      <c r="AD100" t="s">
        <v>72</v>
      </c>
      <c r="AE100" t="s">
        <v>72</v>
      </c>
      <c r="AF100" t="s">
        <v>72</v>
      </c>
      <c r="AG100">
        <v>0</v>
      </c>
      <c r="AH100">
        <v>0</v>
      </c>
      <c r="AK100" t="s">
        <v>73</v>
      </c>
      <c r="AL100" t="s">
        <v>72</v>
      </c>
      <c r="AM100" t="s">
        <v>72</v>
      </c>
      <c r="AN100" t="s">
        <v>72</v>
      </c>
      <c r="AO100">
        <v>0</v>
      </c>
      <c r="AP100">
        <v>0</v>
      </c>
      <c r="AS100" t="s">
        <v>73</v>
      </c>
      <c r="AT100" t="s">
        <v>72</v>
      </c>
      <c r="AU100" t="s">
        <v>72</v>
      </c>
      <c r="AV100" t="s">
        <v>72</v>
      </c>
      <c r="AY100">
        <v>0</v>
      </c>
    </row>
    <row r="101" spans="1:51" x14ac:dyDescent="0.2">
      <c r="A101" t="s">
        <v>648</v>
      </c>
      <c r="B101" t="s">
        <v>54</v>
      </c>
      <c r="C101" t="s">
        <v>55</v>
      </c>
      <c r="D101" t="s">
        <v>120</v>
      </c>
      <c r="E101" t="s">
        <v>121</v>
      </c>
      <c r="F101" t="s">
        <v>122</v>
      </c>
      <c r="G101" t="s">
        <v>642</v>
      </c>
      <c r="H101" t="s">
        <v>643</v>
      </c>
      <c r="I101" t="s">
        <v>649</v>
      </c>
      <c r="J101" t="s">
        <v>645</v>
      </c>
      <c r="K101" t="s">
        <v>72</v>
      </c>
      <c r="O101" t="s">
        <v>645</v>
      </c>
      <c r="Q101">
        <v>0</v>
      </c>
      <c r="R101">
        <v>0</v>
      </c>
      <c r="U101" t="s">
        <v>73</v>
      </c>
      <c r="V101" t="s">
        <v>72</v>
      </c>
      <c r="W101" t="s">
        <v>72</v>
      </c>
      <c r="X101" t="s">
        <v>72</v>
      </c>
      <c r="Y101">
        <v>0</v>
      </c>
      <c r="Z101">
        <v>0</v>
      </c>
      <c r="AC101" t="s">
        <v>73</v>
      </c>
      <c r="AD101" t="s">
        <v>72</v>
      </c>
      <c r="AE101" t="s">
        <v>72</v>
      </c>
      <c r="AF101" t="s">
        <v>72</v>
      </c>
      <c r="AG101">
        <v>0</v>
      </c>
      <c r="AH101">
        <v>0</v>
      </c>
      <c r="AK101" t="s">
        <v>73</v>
      </c>
      <c r="AL101" t="s">
        <v>72</v>
      </c>
      <c r="AM101" t="s">
        <v>72</v>
      </c>
      <c r="AN101" t="s">
        <v>72</v>
      </c>
      <c r="AO101">
        <v>0</v>
      </c>
      <c r="AP101">
        <v>0</v>
      </c>
      <c r="AS101" t="s">
        <v>73</v>
      </c>
      <c r="AT101" t="s">
        <v>72</v>
      </c>
      <c r="AU101" t="s">
        <v>72</v>
      </c>
      <c r="AV101" t="s">
        <v>72</v>
      </c>
      <c r="AY101">
        <v>0</v>
      </c>
    </row>
    <row r="102" spans="1:51" x14ac:dyDescent="0.2">
      <c r="A102" t="s">
        <v>650</v>
      </c>
      <c r="B102" t="s">
        <v>54</v>
      </c>
      <c r="C102" t="s">
        <v>55</v>
      </c>
      <c r="D102" t="s">
        <v>120</v>
      </c>
      <c r="E102" t="s">
        <v>121</v>
      </c>
      <c r="F102" t="s">
        <v>122</v>
      </c>
      <c r="G102" t="s">
        <v>651</v>
      </c>
      <c r="H102" t="s">
        <v>652</v>
      </c>
      <c r="I102" t="s">
        <v>653</v>
      </c>
      <c r="J102" t="s">
        <v>654</v>
      </c>
      <c r="K102" t="s">
        <v>72</v>
      </c>
      <c r="O102" t="s">
        <v>654</v>
      </c>
      <c r="Q102">
        <v>0</v>
      </c>
      <c r="R102">
        <v>0</v>
      </c>
      <c r="U102" t="s">
        <v>73</v>
      </c>
      <c r="V102" t="s">
        <v>72</v>
      </c>
      <c r="W102" t="s">
        <v>72</v>
      </c>
      <c r="X102" t="s">
        <v>72</v>
      </c>
      <c r="Y102">
        <v>0</v>
      </c>
      <c r="Z102">
        <v>0</v>
      </c>
      <c r="AC102" t="s">
        <v>73</v>
      </c>
      <c r="AD102" t="s">
        <v>72</v>
      </c>
      <c r="AE102" t="s">
        <v>72</v>
      </c>
      <c r="AF102" t="s">
        <v>72</v>
      </c>
      <c r="AG102">
        <v>0</v>
      </c>
      <c r="AH102">
        <v>0</v>
      </c>
      <c r="AK102" t="s">
        <v>73</v>
      </c>
      <c r="AL102" t="s">
        <v>72</v>
      </c>
      <c r="AM102" t="s">
        <v>72</v>
      </c>
      <c r="AN102" t="s">
        <v>72</v>
      </c>
      <c r="AO102">
        <v>0</v>
      </c>
      <c r="AP102">
        <v>0</v>
      </c>
      <c r="AS102" t="s">
        <v>73</v>
      </c>
      <c r="AT102" t="s">
        <v>72</v>
      </c>
      <c r="AU102" t="s">
        <v>72</v>
      </c>
      <c r="AV102" t="s">
        <v>72</v>
      </c>
      <c r="AY102">
        <v>0</v>
      </c>
    </row>
    <row r="103" spans="1:51" x14ac:dyDescent="0.2">
      <c r="A103" t="s">
        <v>655</v>
      </c>
      <c r="B103" t="s">
        <v>54</v>
      </c>
      <c r="C103" t="s">
        <v>55</v>
      </c>
      <c r="D103" t="s">
        <v>120</v>
      </c>
      <c r="E103" t="s">
        <v>121</v>
      </c>
      <c r="F103" t="s">
        <v>122</v>
      </c>
      <c r="G103" t="s">
        <v>651</v>
      </c>
      <c r="H103" t="s">
        <v>652</v>
      </c>
      <c r="I103" t="s">
        <v>656</v>
      </c>
      <c r="J103" t="s">
        <v>654</v>
      </c>
      <c r="K103" t="s">
        <v>72</v>
      </c>
      <c r="O103" t="s">
        <v>654</v>
      </c>
      <c r="Q103">
        <v>0</v>
      </c>
      <c r="R103">
        <v>0</v>
      </c>
      <c r="U103" t="s">
        <v>73</v>
      </c>
      <c r="V103" t="s">
        <v>72</v>
      </c>
      <c r="W103" t="s">
        <v>72</v>
      </c>
      <c r="X103" t="s">
        <v>72</v>
      </c>
      <c r="Y103">
        <v>0</v>
      </c>
      <c r="Z103">
        <v>0</v>
      </c>
      <c r="AC103" t="s">
        <v>73</v>
      </c>
      <c r="AD103" t="s">
        <v>72</v>
      </c>
      <c r="AE103" t="s">
        <v>72</v>
      </c>
      <c r="AF103" t="s">
        <v>72</v>
      </c>
      <c r="AG103">
        <v>0</v>
      </c>
      <c r="AH103">
        <v>0</v>
      </c>
      <c r="AK103" t="s">
        <v>73</v>
      </c>
      <c r="AL103" t="s">
        <v>72</v>
      </c>
      <c r="AM103" t="s">
        <v>72</v>
      </c>
      <c r="AN103" t="s">
        <v>72</v>
      </c>
      <c r="AO103">
        <v>0</v>
      </c>
      <c r="AP103">
        <v>0</v>
      </c>
      <c r="AS103" t="s">
        <v>73</v>
      </c>
      <c r="AT103" t="s">
        <v>72</v>
      </c>
      <c r="AU103" t="s">
        <v>72</v>
      </c>
      <c r="AV103" t="s">
        <v>72</v>
      </c>
      <c r="AY103">
        <v>0</v>
      </c>
    </row>
    <row r="104" spans="1:51" x14ac:dyDescent="0.2">
      <c r="A104" t="s">
        <v>657</v>
      </c>
      <c r="B104" t="s">
        <v>54</v>
      </c>
      <c r="C104" t="s">
        <v>55</v>
      </c>
      <c r="D104" t="s">
        <v>120</v>
      </c>
      <c r="E104" t="s">
        <v>121</v>
      </c>
      <c r="F104" t="s">
        <v>122</v>
      </c>
      <c r="G104" t="s">
        <v>651</v>
      </c>
      <c r="H104" t="s">
        <v>652</v>
      </c>
      <c r="I104" t="s">
        <v>658</v>
      </c>
      <c r="J104" t="s">
        <v>654</v>
      </c>
      <c r="K104" t="s">
        <v>72</v>
      </c>
      <c r="O104" t="s">
        <v>654</v>
      </c>
      <c r="Q104">
        <v>0</v>
      </c>
      <c r="R104">
        <v>0</v>
      </c>
      <c r="U104" t="s">
        <v>73</v>
      </c>
      <c r="V104" t="s">
        <v>72</v>
      </c>
      <c r="W104" t="s">
        <v>72</v>
      </c>
      <c r="X104" t="s">
        <v>72</v>
      </c>
      <c r="Y104">
        <v>0</v>
      </c>
      <c r="Z104">
        <v>0</v>
      </c>
      <c r="AC104" t="s">
        <v>73</v>
      </c>
      <c r="AD104" t="s">
        <v>72</v>
      </c>
      <c r="AE104" t="s">
        <v>72</v>
      </c>
      <c r="AF104" t="s">
        <v>72</v>
      </c>
      <c r="AG104">
        <v>0</v>
      </c>
      <c r="AH104">
        <v>0</v>
      </c>
      <c r="AK104" t="s">
        <v>73</v>
      </c>
      <c r="AL104" t="s">
        <v>72</v>
      </c>
      <c r="AM104" t="s">
        <v>72</v>
      </c>
      <c r="AN104" t="s">
        <v>72</v>
      </c>
      <c r="AO104">
        <v>0</v>
      </c>
      <c r="AP104">
        <v>0</v>
      </c>
      <c r="AS104" t="s">
        <v>73</v>
      </c>
      <c r="AT104" t="s">
        <v>72</v>
      </c>
      <c r="AU104" t="s">
        <v>72</v>
      </c>
      <c r="AV104" t="s">
        <v>72</v>
      </c>
      <c r="AY104">
        <v>0</v>
      </c>
    </row>
    <row r="105" spans="1:51" x14ac:dyDescent="0.2">
      <c r="A105" t="s">
        <v>659</v>
      </c>
      <c r="B105" t="s">
        <v>54</v>
      </c>
      <c r="C105" t="s">
        <v>55</v>
      </c>
      <c r="D105" t="s">
        <v>120</v>
      </c>
      <c r="E105" t="s">
        <v>121</v>
      </c>
      <c r="F105" t="s">
        <v>122</v>
      </c>
      <c r="G105" t="s">
        <v>660</v>
      </c>
      <c r="H105" t="s">
        <v>661</v>
      </c>
      <c r="I105" t="s">
        <v>662</v>
      </c>
      <c r="J105" t="s">
        <v>663</v>
      </c>
      <c r="K105" t="s">
        <v>72</v>
      </c>
      <c r="O105" t="s">
        <v>663</v>
      </c>
      <c r="Q105">
        <v>0</v>
      </c>
      <c r="R105">
        <v>0</v>
      </c>
      <c r="U105" t="s">
        <v>73</v>
      </c>
      <c r="V105" t="s">
        <v>72</v>
      </c>
      <c r="W105" t="s">
        <v>72</v>
      </c>
      <c r="X105" t="s">
        <v>72</v>
      </c>
      <c r="Y105">
        <v>0</v>
      </c>
      <c r="Z105">
        <v>0</v>
      </c>
      <c r="AC105" t="s">
        <v>73</v>
      </c>
      <c r="AD105" t="s">
        <v>72</v>
      </c>
      <c r="AE105" t="s">
        <v>72</v>
      </c>
      <c r="AF105" t="s">
        <v>72</v>
      </c>
      <c r="AG105">
        <v>0</v>
      </c>
      <c r="AH105">
        <v>0</v>
      </c>
      <c r="AK105" t="s">
        <v>73</v>
      </c>
      <c r="AL105" t="s">
        <v>72</v>
      </c>
      <c r="AM105" t="s">
        <v>72</v>
      </c>
      <c r="AN105" t="s">
        <v>72</v>
      </c>
      <c r="AO105">
        <v>0</v>
      </c>
      <c r="AP105">
        <v>0</v>
      </c>
      <c r="AS105" t="s">
        <v>73</v>
      </c>
      <c r="AT105" t="s">
        <v>72</v>
      </c>
      <c r="AU105" t="s">
        <v>72</v>
      </c>
      <c r="AV105" t="s">
        <v>72</v>
      </c>
      <c r="AY105">
        <v>0</v>
      </c>
    </row>
    <row r="106" spans="1:51" x14ac:dyDescent="0.2">
      <c r="A106" t="s">
        <v>664</v>
      </c>
      <c r="B106" t="s">
        <v>54</v>
      </c>
      <c r="C106" t="s">
        <v>55</v>
      </c>
      <c r="D106" t="s">
        <v>120</v>
      </c>
      <c r="E106" t="s">
        <v>121</v>
      </c>
      <c r="F106" t="s">
        <v>122</v>
      </c>
      <c r="G106" t="s">
        <v>660</v>
      </c>
      <c r="H106" t="s">
        <v>661</v>
      </c>
      <c r="I106" t="s">
        <v>665</v>
      </c>
      <c r="J106" t="s">
        <v>663</v>
      </c>
      <c r="K106" t="s">
        <v>72</v>
      </c>
      <c r="O106" t="s">
        <v>663</v>
      </c>
      <c r="Q106">
        <v>0</v>
      </c>
      <c r="R106">
        <v>0</v>
      </c>
      <c r="U106" t="s">
        <v>73</v>
      </c>
      <c r="V106" t="s">
        <v>72</v>
      </c>
      <c r="W106" t="s">
        <v>72</v>
      </c>
      <c r="X106" t="s">
        <v>72</v>
      </c>
      <c r="Y106">
        <v>0</v>
      </c>
      <c r="Z106">
        <v>0</v>
      </c>
      <c r="AC106" t="s">
        <v>73</v>
      </c>
      <c r="AD106" t="s">
        <v>72</v>
      </c>
      <c r="AE106" t="s">
        <v>72</v>
      </c>
      <c r="AF106" t="s">
        <v>72</v>
      </c>
      <c r="AG106">
        <v>0</v>
      </c>
      <c r="AH106">
        <v>0</v>
      </c>
      <c r="AK106" t="s">
        <v>73</v>
      </c>
      <c r="AL106" t="s">
        <v>72</v>
      </c>
      <c r="AM106" t="s">
        <v>72</v>
      </c>
      <c r="AN106" t="s">
        <v>72</v>
      </c>
      <c r="AO106">
        <v>0</v>
      </c>
      <c r="AP106">
        <v>0</v>
      </c>
      <c r="AS106" t="s">
        <v>73</v>
      </c>
      <c r="AT106" t="s">
        <v>72</v>
      </c>
      <c r="AU106" t="s">
        <v>72</v>
      </c>
      <c r="AV106" t="s">
        <v>72</v>
      </c>
      <c r="AY106">
        <v>0</v>
      </c>
    </row>
    <row r="107" spans="1:51" x14ac:dyDescent="0.2">
      <c r="A107" t="s">
        <v>666</v>
      </c>
      <c r="B107" t="s">
        <v>54</v>
      </c>
      <c r="C107" t="s">
        <v>55</v>
      </c>
      <c r="D107" t="s">
        <v>120</v>
      </c>
      <c r="E107" t="s">
        <v>121</v>
      </c>
      <c r="F107" t="s">
        <v>122</v>
      </c>
      <c r="G107" t="s">
        <v>667</v>
      </c>
      <c r="H107" t="s">
        <v>668</v>
      </c>
      <c r="I107" t="s">
        <v>669</v>
      </c>
      <c r="J107" t="s">
        <v>670</v>
      </c>
      <c r="K107" t="s">
        <v>72</v>
      </c>
      <c r="O107" t="s">
        <v>670</v>
      </c>
      <c r="Q107">
        <v>0</v>
      </c>
      <c r="R107">
        <v>0</v>
      </c>
      <c r="U107" t="s">
        <v>73</v>
      </c>
      <c r="V107" t="s">
        <v>72</v>
      </c>
      <c r="W107" t="s">
        <v>72</v>
      </c>
      <c r="X107" t="s">
        <v>72</v>
      </c>
      <c r="Y107">
        <v>0</v>
      </c>
      <c r="Z107">
        <v>0</v>
      </c>
      <c r="AC107" t="s">
        <v>73</v>
      </c>
      <c r="AD107" t="s">
        <v>72</v>
      </c>
      <c r="AE107" t="s">
        <v>72</v>
      </c>
      <c r="AF107" t="s">
        <v>72</v>
      </c>
      <c r="AG107">
        <v>0</v>
      </c>
      <c r="AH107">
        <v>0</v>
      </c>
      <c r="AK107" t="s">
        <v>73</v>
      </c>
      <c r="AL107" t="s">
        <v>72</v>
      </c>
      <c r="AM107" t="s">
        <v>72</v>
      </c>
      <c r="AN107" t="s">
        <v>72</v>
      </c>
      <c r="AO107">
        <v>0</v>
      </c>
      <c r="AP107">
        <v>0</v>
      </c>
      <c r="AS107" t="s">
        <v>73</v>
      </c>
      <c r="AT107" t="s">
        <v>72</v>
      </c>
      <c r="AU107" t="s">
        <v>72</v>
      </c>
      <c r="AV107" t="s">
        <v>72</v>
      </c>
      <c r="AY107">
        <v>0</v>
      </c>
    </row>
    <row r="108" spans="1:51" x14ac:dyDescent="0.2">
      <c r="A108" t="s">
        <v>671</v>
      </c>
      <c r="B108" t="s">
        <v>54</v>
      </c>
      <c r="C108" t="s">
        <v>55</v>
      </c>
      <c r="D108" t="s">
        <v>120</v>
      </c>
      <c r="E108" t="s">
        <v>121</v>
      </c>
      <c r="F108" t="s">
        <v>122</v>
      </c>
      <c r="G108" t="s">
        <v>667</v>
      </c>
      <c r="H108" t="s">
        <v>668</v>
      </c>
      <c r="I108" t="s">
        <v>672</v>
      </c>
      <c r="J108" t="s">
        <v>670</v>
      </c>
      <c r="K108" t="s">
        <v>72</v>
      </c>
      <c r="O108" t="s">
        <v>670</v>
      </c>
      <c r="Q108">
        <v>0</v>
      </c>
      <c r="R108">
        <v>0</v>
      </c>
      <c r="U108" t="s">
        <v>73</v>
      </c>
      <c r="V108" t="s">
        <v>72</v>
      </c>
      <c r="W108" t="s">
        <v>72</v>
      </c>
      <c r="X108" t="s">
        <v>72</v>
      </c>
      <c r="Y108">
        <v>0</v>
      </c>
      <c r="Z108">
        <v>0</v>
      </c>
      <c r="AC108" t="s">
        <v>73</v>
      </c>
      <c r="AD108" t="s">
        <v>72</v>
      </c>
      <c r="AE108" t="s">
        <v>72</v>
      </c>
      <c r="AF108" t="s">
        <v>72</v>
      </c>
      <c r="AG108">
        <v>0</v>
      </c>
      <c r="AH108">
        <v>0</v>
      </c>
      <c r="AK108" t="s">
        <v>73</v>
      </c>
      <c r="AL108" t="s">
        <v>72</v>
      </c>
      <c r="AM108" t="s">
        <v>72</v>
      </c>
      <c r="AN108" t="s">
        <v>72</v>
      </c>
      <c r="AO108">
        <v>0</v>
      </c>
      <c r="AP108">
        <v>0</v>
      </c>
      <c r="AS108" t="s">
        <v>73</v>
      </c>
      <c r="AT108" t="s">
        <v>72</v>
      </c>
      <c r="AU108" t="s">
        <v>72</v>
      </c>
      <c r="AV108" t="s">
        <v>72</v>
      </c>
      <c r="AY108">
        <v>0</v>
      </c>
    </row>
    <row r="109" spans="1:51" x14ac:dyDescent="0.2">
      <c r="A109" t="s">
        <v>673</v>
      </c>
      <c r="B109" t="s">
        <v>54</v>
      </c>
      <c r="C109" t="s">
        <v>55</v>
      </c>
      <c r="D109" t="s">
        <v>120</v>
      </c>
      <c r="E109" t="s">
        <v>121</v>
      </c>
      <c r="F109" t="s">
        <v>122</v>
      </c>
      <c r="G109" t="s">
        <v>667</v>
      </c>
      <c r="H109" t="s">
        <v>668</v>
      </c>
      <c r="I109" t="s">
        <v>674</v>
      </c>
      <c r="J109" t="s">
        <v>670</v>
      </c>
      <c r="K109" t="s">
        <v>72</v>
      </c>
      <c r="O109" t="s">
        <v>670</v>
      </c>
      <c r="Q109">
        <v>0</v>
      </c>
      <c r="R109">
        <v>0</v>
      </c>
      <c r="U109" t="s">
        <v>73</v>
      </c>
      <c r="V109" t="s">
        <v>72</v>
      </c>
      <c r="W109" t="s">
        <v>72</v>
      </c>
      <c r="X109" t="s">
        <v>72</v>
      </c>
      <c r="Y109">
        <v>0</v>
      </c>
      <c r="Z109">
        <v>0</v>
      </c>
      <c r="AC109" t="s">
        <v>73</v>
      </c>
      <c r="AD109" t="s">
        <v>72</v>
      </c>
      <c r="AE109" t="s">
        <v>72</v>
      </c>
      <c r="AF109" t="s">
        <v>72</v>
      </c>
      <c r="AG109">
        <v>0</v>
      </c>
      <c r="AH109">
        <v>0</v>
      </c>
      <c r="AK109" t="s">
        <v>73</v>
      </c>
      <c r="AL109" t="s">
        <v>72</v>
      </c>
      <c r="AM109" t="s">
        <v>72</v>
      </c>
      <c r="AN109" t="s">
        <v>72</v>
      </c>
      <c r="AO109">
        <v>0</v>
      </c>
      <c r="AP109">
        <v>0</v>
      </c>
      <c r="AS109" t="s">
        <v>73</v>
      </c>
      <c r="AT109" t="s">
        <v>72</v>
      </c>
      <c r="AU109" t="s">
        <v>72</v>
      </c>
      <c r="AV109" t="s">
        <v>72</v>
      </c>
      <c r="AY109">
        <v>0</v>
      </c>
    </row>
    <row r="110" spans="1:51" x14ac:dyDescent="0.2">
      <c r="A110" t="s">
        <v>675</v>
      </c>
      <c r="B110" t="s">
        <v>54</v>
      </c>
      <c r="C110" t="s">
        <v>55</v>
      </c>
      <c r="D110" t="s">
        <v>120</v>
      </c>
      <c r="E110" t="s">
        <v>121</v>
      </c>
      <c r="F110" t="s">
        <v>122</v>
      </c>
      <c r="G110" t="s">
        <v>667</v>
      </c>
      <c r="H110" t="s">
        <v>668</v>
      </c>
      <c r="I110" t="s">
        <v>676</v>
      </c>
      <c r="J110" t="s">
        <v>670</v>
      </c>
      <c r="K110" t="s">
        <v>72</v>
      </c>
      <c r="O110" t="s">
        <v>670</v>
      </c>
      <c r="Q110">
        <v>0</v>
      </c>
      <c r="R110">
        <v>0</v>
      </c>
      <c r="U110" t="s">
        <v>73</v>
      </c>
      <c r="V110" t="s">
        <v>72</v>
      </c>
      <c r="W110" t="s">
        <v>72</v>
      </c>
      <c r="X110" t="s">
        <v>72</v>
      </c>
      <c r="Y110">
        <v>0</v>
      </c>
      <c r="Z110">
        <v>0</v>
      </c>
      <c r="AC110" t="s">
        <v>73</v>
      </c>
      <c r="AD110" t="s">
        <v>72</v>
      </c>
      <c r="AE110" t="s">
        <v>72</v>
      </c>
      <c r="AF110" t="s">
        <v>72</v>
      </c>
      <c r="AG110">
        <v>0</v>
      </c>
      <c r="AH110">
        <v>0</v>
      </c>
      <c r="AK110" t="s">
        <v>73</v>
      </c>
      <c r="AL110" t="s">
        <v>72</v>
      </c>
      <c r="AM110" t="s">
        <v>72</v>
      </c>
      <c r="AN110" t="s">
        <v>72</v>
      </c>
      <c r="AO110">
        <v>0</v>
      </c>
      <c r="AP110">
        <v>0</v>
      </c>
      <c r="AS110" t="s">
        <v>73</v>
      </c>
      <c r="AT110" t="s">
        <v>72</v>
      </c>
      <c r="AU110" t="s">
        <v>72</v>
      </c>
      <c r="AV110" t="s">
        <v>72</v>
      </c>
      <c r="AY110">
        <v>0</v>
      </c>
    </row>
    <row r="111" spans="1:51" x14ac:dyDescent="0.2">
      <c r="A111" t="s">
        <v>677</v>
      </c>
      <c r="B111" t="s">
        <v>54</v>
      </c>
      <c r="C111" t="s">
        <v>55</v>
      </c>
      <c r="D111" t="s">
        <v>120</v>
      </c>
      <c r="E111" t="s">
        <v>121</v>
      </c>
      <c r="F111" t="s">
        <v>122</v>
      </c>
      <c r="G111" t="s">
        <v>678</v>
      </c>
      <c r="H111" t="s">
        <v>679</v>
      </c>
      <c r="I111" t="s">
        <v>680</v>
      </c>
      <c r="J111" t="s">
        <v>670</v>
      </c>
      <c r="K111" t="s">
        <v>72</v>
      </c>
      <c r="O111" t="s">
        <v>670</v>
      </c>
      <c r="Q111">
        <v>0</v>
      </c>
      <c r="R111">
        <v>0</v>
      </c>
      <c r="U111" t="s">
        <v>73</v>
      </c>
      <c r="V111" t="s">
        <v>72</v>
      </c>
      <c r="W111" t="s">
        <v>72</v>
      </c>
      <c r="X111" t="s">
        <v>72</v>
      </c>
      <c r="Y111">
        <v>0</v>
      </c>
      <c r="Z111">
        <v>0</v>
      </c>
      <c r="AC111" t="s">
        <v>73</v>
      </c>
      <c r="AD111" t="s">
        <v>72</v>
      </c>
      <c r="AE111" t="s">
        <v>72</v>
      </c>
      <c r="AF111" t="s">
        <v>72</v>
      </c>
      <c r="AG111">
        <v>0</v>
      </c>
      <c r="AH111">
        <v>0</v>
      </c>
      <c r="AK111" t="s">
        <v>73</v>
      </c>
      <c r="AL111" t="s">
        <v>72</v>
      </c>
      <c r="AM111" t="s">
        <v>72</v>
      </c>
      <c r="AN111" t="s">
        <v>72</v>
      </c>
      <c r="AO111">
        <v>0</v>
      </c>
      <c r="AP111">
        <v>0</v>
      </c>
      <c r="AS111" t="s">
        <v>73</v>
      </c>
      <c r="AT111" t="s">
        <v>72</v>
      </c>
      <c r="AU111" t="s">
        <v>72</v>
      </c>
      <c r="AV111" t="s">
        <v>72</v>
      </c>
      <c r="AY111">
        <v>0</v>
      </c>
    </row>
    <row r="112" spans="1:51" x14ac:dyDescent="0.2">
      <c r="A112" t="s">
        <v>681</v>
      </c>
      <c r="B112" t="s">
        <v>54</v>
      </c>
      <c r="C112" t="s">
        <v>55</v>
      </c>
      <c r="D112" t="s">
        <v>120</v>
      </c>
      <c r="E112" t="s">
        <v>121</v>
      </c>
      <c r="F112" t="s">
        <v>122</v>
      </c>
      <c r="G112" t="s">
        <v>678</v>
      </c>
      <c r="H112" t="s">
        <v>679</v>
      </c>
      <c r="I112" t="s">
        <v>682</v>
      </c>
      <c r="J112" t="s">
        <v>670</v>
      </c>
      <c r="K112" t="s">
        <v>72</v>
      </c>
      <c r="O112" t="s">
        <v>670</v>
      </c>
      <c r="Q112">
        <v>0</v>
      </c>
      <c r="R112">
        <v>0</v>
      </c>
      <c r="U112" t="s">
        <v>73</v>
      </c>
      <c r="V112" t="s">
        <v>72</v>
      </c>
      <c r="W112" t="s">
        <v>72</v>
      </c>
      <c r="X112" t="s">
        <v>72</v>
      </c>
      <c r="Y112">
        <v>0</v>
      </c>
      <c r="Z112">
        <v>0</v>
      </c>
      <c r="AC112" t="s">
        <v>73</v>
      </c>
      <c r="AD112" t="s">
        <v>72</v>
      </c>
      <c r="AE112" t="s">
        <v>72</v>
      </c>
      <c r="AF112" t="s">
        <v>72</v>
      </c>
      <c r="AG112">
        <v>0</v>
      </c>
      <c r="AH112">
        <v>0</v>
      </c>
      <c r="AK112" t="s">
        <v>73</v>
      </c>
      <c r="AL112" t="s">
        <v>72</v>
      </c>
      <c r="AM112" t="s">
        <v>72</v>
      </c>
      <c r="AN112" t="s">
        <v>72</v>
      </c>
      <c r="AO112">
        <v>0</v>
      </c>
      <c r="AP112">
        <v>0</v>
      </c>
      <c r="AS112" t="s">
        <v>73</v>
      </c>
      <c r="AT112" t="s">
        <v>72</v>
      </c>
      <c r="AU112" t="s">
        <v>72</v>
      </c>
      <c r="AV112" t="s">
        <v>72</v>
      </c>
      <c r="AY112">
        <v>0</v>
      </c>
    </row>
    <row r="113" spans="1:51" x14ac:dyDescent="0.2">
      <c r="A113" t="s">
        <v>683</v>
      </c>
      <c r="B113" t="s">
        <v>54</v>
      </c>
      <c r="C113" t="s">
        <v>55</v>
      </c>
      <c r="D113" t="s">
        <v>120</v>
      </c>
      <c r="E113" t="s">
        <v>121</v>
      </c>
      <c r="F113" t="s">
        <v>122</v>
      </c>
      <c r="G113" t="s">
        <v>678</v>
      </c>
      <c r="H113" t="s">
        <v>679</v>
      </c>
      <c r="I113" t="s">
        <v>684</v>
      </c>
      <c r="J113" t="s">
        <v>670</v>
      </c>
      <c r="K113" t="s">
        <v>72</v>
      </c>
      <c r="O113" t="s">
        <v>670</v>
      </c>
      <c r="Q113">
        <v>0</v>
      </c>
      <c r="R113">
        <v>0</v>
      </c>
      <c r="U113" t="s">
        <v>73</v>
      </c>
      <c r="V113" t="s">
        <v>72</v>
      </c>
      <c r="W113" t="s">
        <v>72</v>
      </c>
      <c r="X113" t="s">
        <v>72</v>
      </c>
      <c r="Y113">
        <v>0</v>
      </c>
      <c r="Z113">
        <v>0</v>
      </c>
      <c r="AC113" t="s">
        <v>73</v>
      </c>
      <c r="AD113" t="s">
        <v>72</v>
      </c>
      <c r="AE113" t="s">
        <v>72</v>
      </c>
      <c r="AF113" t="s">
        <v>72</v>
      </c>
      <c r="AG113">
        <v>0</v>
      </c>
      <c r="AH113">
        <v>0</v>
      </c>
      <c r="AK113" t="s">
        <v>73</v>
      </c>
      <c r="AL113" t="s">
        <v>72</v>
      </c>
      <c r="AM113" t="s">
        <v>72</v>
      </c>
      <c r="AN113" t="s">
        <v>72</v>
      </c>
      <c r="AO113">
        <v>0</v>
      </c>
      <c r="AP113">
        <v>0</v>
      </c>
      <c r="AS113" t="s">
        <v>73</v>
      </c>
      <c r="AT113" t="s">
        <v>72</v>
      </c>
      <c r="AU113" t="s">
        <v>72</v>
      </c>
      <c r="AV113" t="s">
        <v>72</v>
      </c>
      <c r="AY113">
        <v>0</v>
      </c>
    </row>
    <row r="114" spans="1:51" x14ac:dyDescent="0.2">
      <c r="A114" t="s">
        <v>685</v>
      </c>
      <c r="B114" t="s">
        <v>54</v>
      </c>
      <c r="C114" t="s">
        <v>55</v>
      </c>
      <c r="D114" t="s">
        <v>88</v>
      </c>
      <c r="E114" t="s">
        <v>89</v>
      </c>
      <c r="F114" t="s">
        <v>90</v>
      </c>
      <c r="G114" t="s">
        <v>132</v>
      </c>
      <c r="H114" t="s">
        <v>133</v>
      </c>
      <c r="I114" t="s">
        <v>686</v>
      </c>
      <c r="J114" t="s">
        <v>136</v>
      </c>
      <c r="K114" t="s">
        <v>72</v>
      </c>
      <c r="O114" t="s">
        <v>136</v>
      </c>
      <c r="Q114">
        <v>0</v>
      </c>
      <c r="R114">
        <v>0</v>
      </c>
      <c r="U114" t="s">
        <v>73</v>
      </c>
      <c r="V114" t="s">
        <v>72</v>
      </c>
      <c r="W114" t="s">
        <v>72</v>
      </c>
      <c r="X114" t="s">
        <v>72</v>
      </c>
      <c r="Y114">
        <v>0</v>
      </c>
      <c r="Z114">
        <v>0</v>
      </c>
      <c r="AC114" t="s">
        <v>73</v>
      </c>
      <c r="AD114" t="s">
        <v>72</v>
      </c>
      <c r="AE114" t="s">
        <v>72</v>
      </c>
      <c r="AF114" t="s">
        <v>72</v>
      </c>
      <c r="AG114">
        <v>0</v>
      </c>
      <c r="AH114">
        <v>0</v>
      </c>
      <c r="AK114" t="s">
        <v>73</v>
      </c>
      <c r="AL114" t="s">
        <v>72</v>
      </c>
      <c r="AM114" t="s">
        <v>72</v>
      </c>
      <c r="AN114" t="s">
        <v>72</v>
      </c>
      <c r="AO114">
        <v>0</v>
      </c>
      <c r="AP114">
        <v>0</v>
      </c>
      <c r="AS114" t="s">
        <v>73</v>
      </c>
      <c r="AT114" t="s">
        <v>72</v>
      </c>
      <c r="AU114" t="s">
        <v>72</v>
      </c>
      <c r="AV114" t="s">
        <v>72</v>
      </c>
      <c r="AY114">
        <v>0</v>
      </c>
    </row>
    <row r="115" spans="1:51" x14ac:dyDescent="0.2">
      <c r="A115" t="s">
        <v>687</v>
      </c>
      <c r="B115" t="s">
        <v>54</v>
      </c>
      <c r="C115" t="s">
        <v>55</v>
      </c>
      <c r="D115" t="s">
        <v>88</v>
      </c>
      <c r="E115" t="s">
        <v>89</v>
      </c>
      <c r="F115" t="s">
        <v>90</v>
      </c>
      <c r="G115" t="s">
        <v>132</v>
      </c>
      <c r="H115" t="s">
        <v>133</v>
      </c>
      <c r="I115" t="s">
        <v>688</v>
      </c>
      <c r="J115" t="s">
        <v>136</v>
      </c>
      <c r="K115" t="s">
        <v>72</v>
      </c>
      <c r="O115" t="s">
        <v>136</v>
      </c>
      <c r="Q115">
        <v>0</v>
      </c>
      <c r="R115">
        <v>0</v>
      </c>
      <c r="U115" t="s">
        <v>73</v>
      </c>
      <c r="V115" t="s">
        <v>72</v>
      </c>
      <c r="W115" t="s">
        <v>72</v>
      </c>
      <c r="X115" t="s">
        <v>72</v>
      </c>
      <c r="Y115">
        <v>0</v>
      </c>
      <c r="Z115">
        <v>0</v>
      </c>
      <c r="AC115" t="s">
        <v>73</v>
      </c>
      <c r="AD115" t="s">
        <v>72</v>
      </c>
      <c r="AE115" t="s">
        <v>72</v>
      </c>
      <c r="AF115" t="s">
        <v>72</v>
      </c>
      <c r="AG115">
        <v>0</v>
      </c>
      <c r="AH115">
        <v>0</v>
      </c>
      <c r="AK115" t="s">
        <v>73</v>
      </c>
      <c r="AL115" t="s">
        <v>72</v>
      </c>
      <c r="AM115" t="s">
        <v>72</v>
      </c>
      <c r="AN115" t="s">
        <v>72</v>
      </c>
      <c r="AO115">
        <v>0</v>
      </c>
      <c r="AP115">
        <v>0</v>
      </c>
      <c r="AS115" t="s">
        <v>73</v>
      </c>
      <c r="AT115" t="s">
        <v>72</v>
      </c>
      <c r="AU115" t="s">
        <v>72</v>
      </c>
      <c r="AV115" t="s">
        <v>72</v>
      </c>
      <c r="AY115">
        <v>0</v>
      </c>
    </row>
    <row r="116" spans="1:51" x14ac:dyDescent="0.2">
      <c r="A116" t="s">
        <v>689</v>
      </c>
      <c r="B116" t="s">
        <v>54</v>
      </c>
      <c r="C116" t="s">
        <v>55</v>
      </c>
      <c r="D116" t="s">
        <v>88</v>
      </c>
      <c r="E116" t="s">
        <v>89</v>
      </c>
      <c r="F116" t="s">
        <v>90</v>
      </c>
      <c r="G116" t="s">
        <v>132</v>
      </c>
      <c r="H116" t="s">
        <v>133</v>
      </c>
      <c r="I116" t="s">
        <v>690</v>
      </c>
      <c r="J116" t="s">
        <v>136</v>
      </c>
      <c r="K116" t="s">
        <v>72</v>
      </c>
      <c r="O116" t="s">
        <v>136</v>
      </c>
      <c r="Q116">
        <v>0</v>
      </c>
      <c r="R116">
        <v>0</v>
      </c>
      <c r="U116" t="s">
        <v>73</v>
      </c>
      <c r="V116" t="s">
        <v>72</v>
      </c>
      <c r="W116" t="s">
        <v>72</v>
      </c>
      <c r="X116" t="s">
        <v>72</v>
      </c>
      <c r="Y116">
        <v>0</v>
      </c>
      <c r="Z116">
        <v>0</v>
      </c>
      <c r="AC116" t="s">
        <v>73</v>
      </c>
      <c r="AD116" t="s">
        <v>72</v>
      </c>
      <c r="AE116" t="s">
        <v>72</v>
      </c>
      <c r="AF116" t="s">
        <v>72</v>
      </c>
      <c r="AG116">
        <v>0</v>
      </c>
      <c r="AH116">
        <v>0</v>
      </c>
      <c r="AK116" t="s">
        <v>73</v>
      </c>
      <c r="AL116" t="s">
        <v>72</v>
      </c>
      <c r="AM116" t="s">
        <v>72</v>
      </c>
      <c r="AN116" t="s">
        <v>72</v>
      </c>
      <c r="AO116">
        <v>0</v>
      </c>
      <c r="AP116">
        <v>0</v>
      </c>
      <c r="AS116" t="s">
        <v>73</v>
      </c>
      <c r="AT116" t="s">
        <v>72</v>
      </c>
      <c r="AU116" t="s">
        <v>72</v>
      </c>
      <c r="AV116" t="s">
        <v>72</v>
      </c>
      <c r="AY116">
        <v>0</v>
      </c>
    </row>
    <row r="117" spans="1:51" x14ac:dyDescent="0.2">
      <c r="A117" t="s">
        <v>691</v>
      </c>
      <c r="B117" t="s">
        <v>54</v>
      </c>
      <c r="C117" t="s">
        <v>55</v>
      </c>
      <c r="D117" t="s">
        <v>88</v>
      </c>
      <c r="E117" t="s">
        <v>89</v>
      </c>
      <c r="F117" t="s">
        <v>90</v>
      </c>
      <c r="G117" t="s">
        <v>91</v>
      </c>
      <c r="H117" t="s">
        <v>92</v>
      </c>
      <c r="I117" t="s">
        <v>692</v>
      </c>
      <c r="J117" t="s">
        <v>95</v>
      </c>
      <c r="K117" t="s">
        <v>72</v>
      </c>
      <c r="O117" t="s">
        <v>95</v>
      </c>
      <c r="Q117">
        <v>0</v>
      </c>
      <c r="R117">
        <v>0</v>
      </c>
      <c r="U117" t="s">
        <v>73</v>
      </c>
      <c r="V117" t="s">
        <v>72</v>
      </c>
      <c r="W117" t="s">
        <v>72</v>
      </c>
      <c r="X117" t="s">
        <v>72</v>
      </c>
      <c r="Y117">
        <v>0</v>
      </c>
      <c r="Z117">
        <v>0</v>
      </c>
      <c r="AC117" t="s">
        <v>73</v>
      </c>
      <c r="AD117" t="s">
        <v>72</v>
      </c>
      <c r="AE117" t="s">
        <v>72</v>
      </c>
      <c r="AF117" t="s">
        <v>72</v>
      </c>
      <c r="AG117">
        <v>0</v>
      </c>
      <c r="AH117">
        <v>0</v>
      </c>
      <c r="AK117" t="s">
        <v>73</v>
      </c>
      <c r="AL117" t="s">
        <v>72</v>
      </c>
      <c r="AM117" t="s">
        <v>72</v>
      </c>
      <c r="AN117" t="s">
        <v>72</v>
      </c>
      <c r="AO117">
        <v>0</v>
      </c>
      <c r="AP117">
        <v>0</v>
      </c>
      <c r="AS117" t="s">
        <v>73</v>
      </c>
      <c r="AT117" t="s">
        <v>72</v>
      </c>
      <c r="AU117" t="s">
        <v>72</v>
      </c>
      <c r="AV117" t="s">
        <v>72</v>
      </c>
      <c r="AY117">
        <v>0</v>
      </c>
    </row>
    <row r="118" spans="1:51" x14ac:dyDescent="0.2">
      <c r="A118" t="s">
        <v>693</v>
      </c>
      <c r="B118" t="s">
        <v>54</v>
      </c>
      <c r="C118" t="s">
        <v>55</v>
      </c>
      <c r="D118" t="s">
        <v>88</v>
      </c>
      <c r="E118" t="s">
        <v>89</v>
      </c>
      <c r="F118" t="s">
        <v>90</v>
      </c>
      <c r="G118" t="s">
        <v>91</v>
      </c>
      <c r="H118" t="s">
        <v>92</v>
      </c>
      <c r="I118" t="s">
        <v>694</v>
      </c>
      <c r="J118" t="s">
        <v>95</v>
      </c>
      <c r="K118" t="s">
        <v>72</v>
      </c>
      <c r="O118" t="s">
        <v>95</v>
      </c>
      <c r="Q118">
        <v>0</v>
      </c>
      <c r="R118">
        <v>0</v>
      </c>
      <c r="U118" t="s">
        <v>73</v>
      </c>
      <c r="V118" t="s">
        <v>72</v>
      </c>
      <c r="W118" t="s">
        <v>72</v>
      </c>
      <c r="X118" t="s">
        <v>72</v>
      </c>
      <c r="Y118">
        <v>0</v>
      </c>
      <c r="Z118">
        <v>0</v>
      </c>
      <c r="AC118" t="s">
        <v>73</v>
      </c>
      <c r="AD118" t="s">
        <v>72</v>
      </c>
      <c r="AE118" t="s">
        <v>72</v>
      </c>
      <c r="AF118" t="s">
        <v>72</v>
      </c>
      <c r="AG118">
        <v>0</v>
      </c>
      <c r="AH118">
        <v>0</v>
      </c>
      <c r="AK118" t="s">
        <v>73</v>
      </c>
      <c r="AL118" t="s">
        <v>72</v>
      </c>
      <c r="AM118" t="s">
        <v>72</v>
      </c>
      <c r="AN118" t="s">
        <v>72</v>
      </c>
      <c r="AO118">
        <v>0</v>
      </c>
      <c r="AP118">
        <v>0</v>
      </c>
      <c r="AS118" t="s">
        <v>73</v>
      </c>
      <c r="AT118" t="s">
        <v>72</v>
      </c>
      <c r="AU118" t="s">
        <v>72</v>
      </c>
      <c r="AV118" t="s">
        <v>72</v>
      </c>
      <c r="AY118">
        <v>0</v>
      </c>
    </row>
    <row r="119" spans="1:51" x14ac:dyDescent="0.2">
      <c r="A119" t="s">
        <v>695</v>
      </c>
      <c r="B119" t="s">
        <v>54</v>
      </c>
      <c r="C119" t="s">
        <v>55</v>
      </c>
      <c r="D119" t="s">
        <v>88</v>
      </c>
      <c r="E119" t="s">
        <v>89</v>
      </c>
      <c r="F119" t="s">
        <v>90</v>
      </c>
      <c r="G119" t="s">
        <v>91</v>
      </c>
      <c r="H119" t="s">
        <v>92</v>
      </c>
      <c r="I119" t="s">
        <v>696</v>
      </c>
      <c r="J119" t="s">
        <v>95</v>
      </c>
      <c r="K119" t="s">
        <v>72</v>
      </c>
      <c r="O119" t="s">
        <v>95</v>
      </c>
      <c r="Q119">
        <v>0</v>
      </c>
      <c r="R119">
        <v>0</v>
      </c>
      <c r="U119" t="s">
        <v>73</v>
      </c>
      <c r="V119" t="s">
        <v>72</v>
      </c>
      <c r="W119" t="s">
        <v>72</v>
      </c>
      <c r="X119" t="s">
        <v>72</v>
      </c>
      <c r="Y119">
        <v>0</v>
      </c>
      <c r="Z119">
        <v>0</v>
      </c>
      <c r="AC119" t="s">
        <v>73</v>
      </c>
      <c r="AD119" t="s">
        <v>72</v>
      </c>
      <c r="AE119" t="s">
        <v>72</v>
      </c>
      <c r="AF119" t="s">
        <v>72</v>
      </c>
      <c r="AG119">
        <v>0</v>
      </c>
      <c r="AH119">
        <v>0</v>
      </c>
      <c r="AK119" t="s">
        <v>73</v>
      </c>
      <c r="AL119" t="s">
        <v>72</v>
      </c>
      <c r="AM119" t="s">
        <v>72</v>
      </c>
      <c r="AN119" t="s">
        <v>72</v>
      </c>
      <c r="AO119">
        <v>0</v>
      </c>
      <c r="AP119">
        <v>0</v>
      </c>
      <c r="AS119" t="s">
        <v>73</v>
      </c>
      <c r="AT119" t="s">
        <v>72</v>
      </c>
      <c r="AU119" t="s">
        <v>72</v>
      </c>
      <c r="AV119" t="s">
        <v>72</v>
      </c>
      <c r="AY119">
        <v>0</v>
      </c>
    </row>
    <row r="120" spans="1:51" x14ac:dyDescent="0.2">
      <c r="A120" t="s">
        <v>697</v>
      </c>
      <c r="B120" t="s">
        <v>54</v>
      </c>
      <c r="C120" t="s">
        <v>55</v>
      </c>
      <c r="D120" t="s">
        <v>88</v>
      </c>
      <c r="E120" t="s">
        <v>89</v>
      </c>
      <c r="F120" t="s">
        <v>90</v>
      </c>
      <c r="G120" t="s">
        <v>91</v>
      </c>
      <c r="H120" t="s">
        <v>92</v>
      </c>
      <c r="I120" t="s">
        <v>698</v>
      </c>
      <c r="J120" t="s">
        <v>95</v>
      </c>
      <c r="K120" t="s">
        <v>72</v>
      </c>
      <c r="O120" t="s">
        <v>95</v>
      </c>
      <c r="Q120">
        <v>0</v>
      </c>
      <c r="R120">
        <v>0</v>
      </c>
      <c r="U120" t="s">
        <v>73</v>
      </c>
      <c r="V120" t="s">
        <v>72</v>
      </c>
      <c r="W120" t="s">
        <v>72</v>
      </c>
      <c r="X120" t="s">
        <v>72</v>
      </c>
      <c r="Y120">
        <v>0</v>
      </c>
      <c r="Z120">
        <v>0</v>
      </c>
      <c r="AC120" t="s">
        <v>73</v>
      </c>
      <c r="AD120" t="s">
        <v>72</v>
      </c>
      <c r="AE120" t="s">
        <v>72</v>
      </c>
      <c r="AF120" t="s">
        <v>72</v>
      </c>
      <c r="AG120">
        <v>0</v>
      </c>
      <c r="AH120">
        <v>0</v>
      </c>
      <c r="AK120" t="s">
        <v>73</v>
      </c>
      <c r="AL120" t="s">
        <v>72</v>
      </c>
      <c r="AM120" t="s">
        <v>72</v>
      </c>
      <c r="AN120" t="s">
        <v>72</v>
      </c>
      <c r="AO120">
        <v>0</v>
      </c>
      <c r="AP120">
        <v>0</v>
      </c>
      <c r="AS120" t="s">
        <v>73</v>
      </c>
      <c r="AT120" t="s">
        <v>72</v>
      </c>
      <c r="AU120" t="s">
        <v>72</v>
      </c>
      <c r="AV120" t="s">
        <v>72</v>
      </c>
      <c r="AY120">
        <v>0</v>
      </c>
    </row>
    <row r="121" spans="1:51" x14ac:dyDescent="0.2">
      <c r="A121" t="s">
        <v>699</v>
      </c>
      <c r="B121" t="s">
        <v>54</v>
      </c>
      <c r="C121" t="s">
        <v>55</v>
      </c>
      <c r="D121" t="s">
        <v>88</v>
      </c>
      <c r="E121" t="s">
        <v>89</v>
      </c>
      <c r="F121" t="s">
        <v>90</v>
      </c>
      <c r="G121" t="s">
        <v>700</v>
      </c>
      <c r="H121" t="s">
        <v>701</v>
      </c>
      <c r="I121" t="s">
        <v>702</v>
      </c>
      <c r="J121" t="s">
        <v>703</v>
      </c>
      <c r="K121" t="s">
        <v>72</v>
      </c>
      <c r="O121" t="s">
        <v>703</v>
      </c>
      <c r="Q121">
        <v>0</v>
      </c>
      <c r="R121">
        <v>0</v>
      </c>
      <c r="U121" t="s">
        <v>73</v>
      </c>
      <c r="V121" t="s">
        <v>72</v>
      </c>
      <c r="W121" t="s">
        <v>72</v>
      </c>
      <c r="X121" t="s">
        <v>72</v>
      </c>
      <c r="Y121">
        <v>0</v>
      </c>
      <c r="Z121">
        <v>0</v>
      </c>
      <c r="AC121" t="s">
        <v>73</v>
      </c>
      <c r="AD121" t="s">
        <v>72</v>
      </c>
      <c r="AE121" t="s">
        <v>72</v>
      </c>
      <c r="AF121" t="s">
        <v>72</v>
      </c>
      <c r="AG121">
        <v>0</v>
      </c>
      <c r="AH121">
        <v>0</v>
      </c>
      <c r="AK121" t="s">
        <v>73</v>
      </c>
      <c r="AL121" t="s">
        <v>72</v>
      </c>
      <c r="AM121" t="s">
        <v>72</v>
      </c>
      <c r="AN121" t="s">
        <v>72</v>
      </c>
      <c r="AO121">
        <v>0</v>
      </c>
      <c r="AP121">
        <v>0</v>
      </c>
      <c r="AS121" t="s">
        <v>73</v>
      </c>
      <c r="AT121" t="s">
        <v>72</v>
      </c>
      <c r="AU121" t="s">
        <v>72</v>
      </c>
      <c r="AV121" t="s">
        <v>72</v>
      </c>
      <c r="AY121">
        <v>0</v>
      </c>
    </row>
    <row r="122" spans="1:51" x14ac:dyDescent="0.2">
      <c r="A122" t="s">
        <v>704</v>
      </c>
      <c r="B122" t="s">
        <v>54</v>
      </c>
      <c r="C122" t="s">
        <v>55</v>
      </c>
      <c r="D122" t="s">
        <v>88</v>
      </c>
      <c r="E122" t="s">
        <v>89</v>
      </c>
      <c r="F122" t="s">
        <v>90</v>
      </c>
      <c r="G122" t="s">
        <v>700</v>
      </c>
      <c r="H122" t="s">
        <v>701</v>
      </c>
      <c r="I122" t="s">
        <v>705</v>
      </c>
      <c r="J122" t="s">
        <v>703</v>
      </c>
      <c r="K122" t="s">
        <v>72</v>
      </c>
      <c r="O122" t="s">
        <v>703</v>
      </c>
      <c r="Q122">
        <v>0</v>
      </c>
      <c r="R122">
        <v>0</v>
      </c>
      <c r="U122" t="s">
        <v>73</v>
      </c>
      <c r="V122" t="s">
        <v>72</v>
      </c>
      <c r="W122" t="s">
        <v>72</v>
      </c>
      <c r="X122" t="s">
        <v>72</v>
      </c>
      <c r="Y122">
        <v>0</v>
      </c>
      <c r="Z122">
        <v>0</v>
      </c>
      <c r="AC122" t="s">
        <v>73</v>
      </c>
      <c r="AD122" t="s">
        <v>72</v>
      </c>
      <c r="AE122" t="s">
        <v>72</v>
      </c>
      <c r="AF122" t="s">
        <v>72</v>
      </c>
      <c r="AG122">
        <v>0</v>
      </c>
      <c r="AH122">
        <v>0</v>
      </c>
      <c r="AK122" t="s">
        <v>73</v>
      </c>
      <c r="AL122" t="s">
        <v>72</v>
      </c>
      <c r="AM122" t="s">
        <v>72</v>
      </c>
      <c r="AN122" t="s">
        <v>72</v>
      </c>
      <c r="AO122">
        <v>0</v>
      </c>
      <c r="AP122">
        <v>0</v>
      </c>
      <c r="AS122" t="s">
        <v>73</v>
      </c>
      <c r="AT122" t="s">
        <v>72</v>
      </c>
      <c r="AU122" t="s">
        <v>72</v>
      </c>
      <c r="AV122" t="s">
        <v>72</v>
      </c>
      <c r="AY122">
        <v>0</v>
      </c>
    </row>
    <row r="123" spans="1:51" x14ac:dyDescent="0.2">
      <c r="A123" t="s">
        <v>706</v>
      </c>
      <c r="B123" t="s">
        <v>54</v>
      </c>
      <c r="C123" t="s">
        <v>55</v>
      </c>
      <c r="D123" t="s">
        <v>88</v>
      </c>
      <c r="E123" t="s">
        <v>89</v>
      </c>
      <c r="F123" t="s">
        <v>90</v>
      </c>
      <c r="G123" t="s">
        <v>700</v>
      </c>
      <c r="H123" t="s">
        <v>701</v>
      </c>
      <c r="I123" t="s">
        <v>707</v>
      </c>
      <c r="J123" t="s">
        <v>703</v>
      </c>
      <c r="K123" t="s">
        <v>72</v>
      </c>
      <c r="O123" t="s">
        <v>703</v>
      </c>
      <c r="Q123">
        <v>0</v>
      </c>
      <c r="R123">
        <v>0</v>
      </c>
      <c r="U123" t="s">
        <v>73</v>
      </c>
      <c r="V123" t="s">
        <v>72</v>
      </c>
      <c r="W123" t="s">
        <v>72</v>
      </c>
      <c r="X123" t="s">
        <v>72</v>
      </c>
      <c r="Y123">
        <v>0</v>
      </c>
      <c r="Z123">
        <v>0</v>
      </c>
      <c r="AC123" t="s">
        <v>73</v>
      </c>
      <c r="AD123" t="s">
        <v>72</v>
      </c>
      <c r="AE123" t="s">
        <v>72</v>
      </c>
      <c r="AF123" t="s">
        <v>72</v>
      </c>
      <c r="AG123">
        <v>0</v>
      </c>
      <c r="AH123">
        <v>0</v>
      </c>
      <c r="AK123" t="s">
        <v>73</v>
      </c>
      <c r="AL123" t="s">
        <v>72</v>
      </c>
      <c r="AM123" t="s">
        <v>72</v>
      </c>
      <c r="AN123" t="s">
        <v>72</v>
      </c>
      <c r="AO123">
        <v>0</v>
      </c>
      <c r="AP123">
        <v>0</v>
      </c>
      <c r="AS123" t="s">
        <v>73</v>
      </c>
      <c r="AT123" t="s">
        <v>72</v>
      </c>
      <c r="AU123" t="s">
        <v>72</v>
      </c>
      <c r="AV123" t="s">
        <v>72</v>
      </c>
      <c r="AY123">
        <v>0</v>
      </c>
    </row>
    <row r="124" spans="1:51" x14ac:dyDescent="0.2">
      <c r="A124" t="s">
        <v>708</v>
      </c>
      <c r="B124" t="s">
        <v>54</v>
      </c>
      <c r="C124" t="s">
        <v>55</v>
      </c>
      <c r="D124" t="s">
        <v>88</v>
      </c>
      <c r="E124" t="s">
        <v>89</v>
      </c>
      <c r="F124" t="s">
        <v>90</v>
      </c>
      <c r="G124" t="s">
        <v>709</v>
      </c>
      <c r="H124" t="s">
        <v>710</v>
      </c>
      <c r="I124" t="s">
        <v>711</v>
      </c>
      <c r="J124" t="s">
        <v>712</v>
      </c>
      <c r="K124" t="s">
        <v>72</v>
      </c>
      <c r="O124" t="s">
        <v>712</v>
      </c>
      <c r="Q124">
        <v>0</v>
      </c>
      <c r="R124">
        <v>0</v>
      </c>
      <c r="U124" t="s">
        <v>73</v>
      </c>
      <c r="V124" t="s">
        <v>72</v>
      </c>
      <c r="W124" t="s">
        <v>72</v>
      </c>
      <c r="X124" t="s">
        <v>72</v>
      </c>
      <c r="Y124">
        <v>0</v>
      </c>
      <c r="Z124">
        <v>0</v>
      </c>
      <c r="AC124" t="s">
        <v>73</v>
      </c>
      <c r="AD124" t="s">
        <v>72</v>
      </c>
      <c r="AE124" t="s">
        <v>72</v>
      </c>
      <c r="AF124" t="s">
        <v>72</v>
      </c>
      <c r="AG124">
        <v>0</v>
      </c>
      <c r="AH124">
        <v>0</v>
      </c>
      <c r="AK124" t="s">
        <v>73</v>
      </c>
      <c r="AL124" t="s">
        <v>72</v>
      </c>
      <c r="AM124" t="s">
        <v>72</v>
      </c>
      <c r="AN124" t="s">
        <v>72</v>
      </c>
      <c r="AO124">
        <v>0</v>
      </c>
      <c r="AP124">
        <v>0</v>
      </c>
      <c r="AS124" t="s">
        <v>73</v>
      </c>
      <c r="AT124" t="s">
        <v>72</v>
      </c>
      <c r="AU124" t="s">
        <v>72</v>
      </c>
      <c r="AV124" t="s">
        <v>72</v>
      </c>
      <c r="AY124">
        <v>0</v>
      </c>
    </row>
    <row r="125" spans="1:51" x14ac:dyDescent="0.2">
      <c r="A125" t="s">
        <v>713</v>
      </c>
      <c r="B125" t="s">
        <v>54</v>
      </c>
      <c r="C125" t="s">
        <v>55</v>
      </c>
      <c r="D125" t="s">
        <v>88</v>
      </c>
      <c r="E125" t="s">
        <v>89</v>
      </c>
      <c r="F125" t="s">
        <v>90</v>
      </c>
      <c r="G125" t="s">
        <v>709</v>
      </c>
      <c r="H125" t="s">
        <v>710</v>
      </c>
      <c r="I125" t="s">
        <v>714</v>
      </c>
      <c r="J125" t="s">
        <v>712</v>
      </c>
      <c r="K125" t="s">
        <v>72</v>
      </c>
      <c r="O125" t="s">
        <v>712</v>
      </c>
      <c r="Q125">
        <v>0</v>
      </c>
      <c r="R125">
        <v>0</v>
      </c>
      <c r="U125" t="s">
        <v>73</v>
      </c>
      <c r="V125" t="s">
        <v>72</v>
      </c>
      <c r="W125" t="s">
        <v>72</v>
      </c>
      <c r="X125" t="s">
        <v>72</v>
      </c>
      <c r="Y125">
        <v>0</v>
      </c>
      <c r="Z125">
        <v>0</v>
      </c>
      <c r="AC125" t="s">
        <v>73</v>
      </c>
      <c r="AD125" t="s">
        <v>72</v>
      </c>
      <c r="AE125" t="s">
        <v>72</v>
      </c>
      <c r="AF125" t="s">
        <v>72</v>
      </c>
      <c r="AG125">
        <v>0</v>
      </c>
      <c r="AH125">
        <v>0</v>
      </c>
      <c r="AK125" t="s">
        <v>73</v>
      </c>
      <c r="AL125" t="s">
        <v>72</v>
      </c>
      <c r="AM125" t="s">
        <v>72</v>
      </c>
      <c r="AN125" t="s">
        <v>72</v>
      </c>
      <c r="AO125">
        <v>0</v>
      </c>
      <c r="AP125">
        <v>0</v>
      </c>
      <c r="AS125" t="s">
        <v>73</v>
      </c>
      <c r="AT125" t="s">
        <v>72</v>
      </c>
      <c r="AU125" t="s">
        <v>72</v>
      </c>
      <c r="AV125" t="s">
        <v>72</v>
      </c>
      <c r="AY125">
        <v>0</v>
      </c>
    </row>
    <row r="126" spans="1:51" x14ac:dyDescent="0.2">
      <c r="A126" t="s">
        <v>715</v>
      </c>
      <c r="B126" t="s">
        <v>54</v>
      </c>
      <c r="C126" t="s">
        <v>55</v>
      </c>
      <c r="D126" t="s">
        <v>88</v>
      </c>
      <c r="E126" t="s">
        <v>89</v>
      </c>
      <c r="F126" t="s">
        <v>90</v>
      </c>
      <c r="G126" t="s">
        <v>709</v>
      </c>
      <c r="H126" t="s">
        <v>710</v>
      </c>
      <c r="I126" t="s">
        <v>716</v>
      </c>
      <c r="J126" t="s">
        <v>712</v>
      </c>
      <c r="K126" t="s">
        <v>72</v>
      </c>
      <c r="O126" t="s">
        <v>712</v>
      </c>
      <c r="Q126">
        <v>0</v>
      </c>
      <c r="R126">
        <v>0</v>
      </c>
      <c r="U126" t="s">
        <v>73</v>
      </c>
      <c r="V126" t="s">
        <v>72</v>
      </c>
      <c r="W126" t="s">
        <v>72</v>
      </c>
      <c r="X126" t="s">
        <v>72</v>
      </c>
      <c r="Y126">
        <v>0</v>
      </c>
      <c r="Z126">
        <v>0</v>
      </c>
      <c r="AC126" t="s">
        <v>73</v>
      </c>
      <c r="AD126" t="s">
        <v>72</v>
      </c>
      <c r="AE126" t="s">
        <v>72</v>
      </c>
      <c r="AF126" t="s">
        <v>72</v>
      </c>
      <c r="AG126">
        <v>0</v>
      </c>
      <c r="AH126">
        <v>0</v>
      </c>
      <c r="AK126" t="s">
        <v>73</v>
      </c>
      <c r="AL126" t="s">
        <v>72</v>
      </c>
      <c r="AM126" t="s">
        <v>72</v>
      </c>
      <c r="AN126" t="s">
        <v>72</v>
      </c>
      <c r="AO126">
        <v>0</v>
      </c>
      <c r="AP126">
        <v>0</v>
      </c>
      <c r="AS126" t="s">
        <v>73</v>
      </c>
      <c r="AT126" t="s">
        <v>72</v>
      </c>
      <c r="AU126" t="s">
        <v>72</v>
      </c>
      <c r="AV126" t="s">
        <v>72</v>
      </c>
      <c r="AY126">
        <v>0</v>
      </c>
    </row>
    <row r="127" spans="1:51" x14ac:dyDescent="0.2">
      <c r="A127" t="s">
        <v>717</v>
      </c>
      <c r="B127" t="s">
        <v>54</v>
      </c>
      <c r="C127" t="s">
        <v>55</v>
      </c>
      <c r="D127" t="s">
        <v>88</v>
      </c>
      <c r="E127" t="s">
        <v>89</v>
      </c>
      <c r="F127" t="s">
        <v>90</v>
      </c>
      <c r="G127" t="s">
        <v>709</v>
      </c>
      <c r="H127" t="s">
        <v>710</v>
      </c>
      <c r="I127" t="s">
        <v>718</v>
      </c>
      <c r="J127" t="s">
        <v>712</v>
      </c>
      <c r="K127" t="s">
        <v>72</v>
      </c>
      <c r="O127" t="s">
        <v>712</v>
      </c>
      <c r="Q127">
        <v>0</v>
      </c>
      <c r="R127">
        <v>0</v>
      </c>
      <c r="U127" t="s">
        <v>73</v>
      </c>
      <c r="V127" t="s">
        <v>72</v>
      </c>
      <c r="W127" t="s">
        <v>72</v>
      </c>
      <c r="X127" t="s">
        <v>72</v>
      </c>
      <c r="Y127">
        <v>0</v>
      </c>
      <c r="Z127">
        <v>0</v>
      </c>
      <c r="AC127" t="s">
        <v>73</v>
      </c>
      <c r="AD127" t="s">
        <v>72</v>
      </c>
      <c r="AE127" t="s">
        <v>72</v>
      </c>
      <c r="AF127" t="s">
        <v>72</v>
      </c>
      <c r="AG127">
        <v>0</v>
      </c>
      <c r="AH127">
        <v>0</v>
      </c>
      <c r="AK127" t="s">
        <v>73</v>
      </c>
      <c r="AL127" t="s">
        <v>72</v>
      </c>
      <c r="AM127" t="s">
        <v>72</v>
      </c>
      <c r="AN127" t="s">
        <v>72</v>
      </c>
      <c r="AO127">
        <v>0</v>
      </c>
      <c r="AP127">
        <v>0</v>
      </c>
      <c r="AS127" t="s">
        <v>73</v>
      </c>
      <c r="AT127" t="s">
        <v>72</v>
      </c>
      <c r="AU127" t="s">
        <v>72</v>
      </c>
      <c r="AV127" t="s">
        <v>72</v>
      </c>
      <c r="AY127">
        <v>0</v>
      </c>
    </row>
    <row r="128" spans="1:51" x14ac:dyDescent="0.2">
      <c r="A128" t="s">
        <v>719</v>
      </c>
      <c r="B128" t="s">
        <v>54</v>
      </c>
      <c r="C128" t="s">
        <v>55</v>
      </c>
      <c r="D128" t="s">
        <v>56</v>
      </c>
      <c r="E128" t="s">
        <v>57</v>
      </c>
      <c r="F128" t="s">
        <v>58</v>
      </c>
      <c r="G128" t="s">
        <v>141</v>
      </c>
      <c r="H128" t="s">
        <v>142</v>
      </c>
      <c r="I128" t="s">
        <v>720</v>
      </c>
      <c r="J128" t="s">
        <v>145</v>
      </c>
      <c r="K128" t="s">
        <v>72</v>
      </c>
      <c r="O128" t="s">
        <v>145</v>
      </c>
      <c r="Q128">
        <v>0</v>
      </c>
      <c r="R128">
        <v>0</v>
      </c>
      <c r="U128" t="s">
        <v>73</v>
      </c>
      <c r="V128" t="s">
        <v>72</v>
      </c>
      <c r="W128" t="s">
        <v>72</v>
      </c>
      <c r="X128" t="s">
        <v>72</v>
      </c>
      <c r="Y128">
        <v>0</v>
      </c>
      <c r="Z128">
        <v>0</v>
      </c>
      <c r="AC128" t="s">
        <v>73</v>
      </c>
      <c r="AD128" t="s">
        <v>72</v>
      </c>
      <c r="AE128" t="s">
        <v>72</v>
      </c>
      <c r="AF128" t="s">
        <v>72</v>
      </c>
      <c r="AG128">
        <v>0</v>
      </c>
      <c r="AH128">
        <v>0</v>
      </c>
      <c r="AK128" t="s">
        <v>73</v>
      </c>
      <c r="AL128" t="s">
        <v>72</v>
      </c>
      <c r="AM128" t="s">
        <v>72</v>
      </c>
      <c r="AN128" t="s">
        <v>72</v>
      </c>
      <c r="AO128">
        <v>0</v>
      </c>
      <c r="AP128">
        <v>0</v>
      </c>
      <c r="AS128" t="s">
        <v>73</v>
      </c>
      <c r="AT128" t="s">
        <v>72</v>
      </c>
      <c r="AU128" t="s">
        <v>72</v>
      </c>
      <c r="AV128" t="s">
        <v>72</v>
      </c>
      <c r="AY128">
        <v>0</v>
      </c>
    </row>
    <row r="129" spans="1:51" x14ac:dyDescent="0.2">
      <c r="A129" t="s">
        <v>721</v>
      </c>
      <c r="B129" t="s">
        <v>54</v>
      </c>
      <c r="C129" t="s">
        <v>55</v>
      </c>
      <c r="D129" t="s">
        <v>56</v>
      </c>
      <c r="E129" t="s">
        <v>57</v>
      </c>
      <c r="F129" t="s">
        <v>58</v>
      </c>
      <c r="G129" t="s">
        <v>141</v>
      </c>
      <c r="H129" t="s">
        <v>142</v>
      </c>
      <c r="I129" t="s">
        <v>722</v>
      </c>
      <c r="J129" t="s">
        <v>145</v>
      </c>
      <c r="K129" t="s">
        <v>72</v>
      </c>
      <c r="O129" t="s">
        <v>145</v>
      </c>
      <c r="Q129">
        <v>0</v>
      </c>
      <c r="R129">
        <v>0</v>
      </c>
      <c r="U129" t="s">
        <v>73</v>
      </c>
      <c r="V129" t="s">
        <v>72</v>
      </c>
      <c r="W129" t="s">
        <v>72</v>
      </c>
      <c r="X129" t="s">
        <v>72</v>
      </c>
      <c r="Y129">
        <v>0</v>
      </c>
      <c r="Z129">
        <v>0</v>
      </c>
      <c r="AC129" t="s">
        <v>73</v>
      </c>
      <c r="AD129" t="s">
        <v>72</v>
      </c>
      <c r="AE129" t="s">
        <v>72</v>
      </c>
      <c r="AF129" t="s">
        <v>72</v>
      </c>
      <c r="AG129">
        <v>0</v>
      </c>
      <c r="AH129">
        <v>0</v>
      </c>
      <c r="AK129" t="s">
        <v>73</v>
      </c>
      <c r="AL129" t="s">
        <v>72</v>
      </c>
      <c r="AM129" t="s">
        <v>72</v>
      </c>
      <c r="AN129" t="s">
        <v>72</v>
      </c>
      <c r="AO129">
        <v>0</v>
      </c>
      <c r="AP129">
        <v>0</v>
      </c>
      <c r="AS129" t="s">
        <v>73</v>
      </c>
      <c r="AT129" t="s">
        <v>72</v>
      </c>
      <c r="AU129" t="s">
        <v>72</v>
      </c>
      <c r="AV129" t="s">
        <v>72</v>
      </c>
      <c r="AY129">
        <v>0</v>
      </c>
    </row>
    <row r="130" spans="1:51" x14ac:dyDescent="0.2">
      <c r="A130" t="s">
        <v>723</v>
      </c>
      <c r="B130" t="s">
        <v>54</v>
      </c>
      <c r="C130" t="s">
        <v>55</v>
      </c>
      <c r="D130" t="s">
        <v>56</v>
      </c>
      <c r="E130" t="s">
        <v>57</v>
      </c>
      <c r="F130" t="s">
        <v>58</v>
      </c>
      <c r="G130" t="s">
        <v>141</v>
      </c>
      <c r="H130" t="s">
        <v>142</v>
      </c>
      <c r="I130" t="s">
        <v>724</v>
      </c>
      <c r="J130" t="s">
        <v>145</v>
      </c>
      <c r="K130" t="s">
        <v>72</v>
      </c>
      <c r="O130" t="s">
        <v>145</v>
      </c>
      <c r="Q130">
        <v>0</v>
      </c>
      <c r="R130">
        <v>0</v>
      </c>
      <c r="U130" t="s">
        <v>73</v>
      </c>
      <c r="V130" t="s">
        <v>72</v>
      </c>
      <c r="W130" t="s">
        <v>72</v>
      </c>
      <c r="X130" t="s">
        <v>72</v>
      </c>
      <c r="Y130">
        <v>0</v>
      </c>
      <c r="Z130">
        <v>0</v>
      </c>
      <c r="AC130" t="s">
        <v>73</v>
      </c>
      <c r="AD130" t="s">
        <v>72</v>
      </c>
      <c r="AE130" t="s">
        <v>72</v>
      </c>
      <c r="AF130" t="s">
        <v>72</v>
      </c>
      <c r="AG130">
        <v>0</v>
      </c>
      <c r="AH130">
        <v>0</v>
      </c>
      <c r="AK130" t="s">
        <v>73</v>
      </c>
      <c r="AL130" t="s">
        <v>72</v>
      </c>
      <c r="AM130" t="s">
        <v>72</v>
      </c>
      <c r="AN130" t="s">
        <v>72</v>
      </c>
      <c r="AO130">
        <v>0</v>
      </c>
      <c r="AP130">
        <v>0</v>
      </c>
      <c r="AS130" t="s">
        <v>73</v>
      </c>
      <c r="AT130" t="s">
        <v>72</v>
      </c>
      <c r="AU130" t="s">
        <v>72</v>
      </c>
      <c r="AV130" t="s">
        <v>72</v>
      </c>
      <c r="AY130">
        <v>0</v>
      </c>
    </row>
    <row r="131" spans="1:51" x14ac:dyDescent="0.2">
      <c r="A131" t="s">
        <v>725</v>
      </c>
      <c r="B131" t="s">
        <v>54</v>
      </c>
      <c r="C131" t="s">
        <v>55</v>
      </c>
      <c r="D131" t="s">
        <v>56</v>
      </c>
      <c r="E131" t="s">
        <v>57</v>
      </c>
      <c r="F131" t="s">
        <v>58</v>
      </c>
      <c r="G131" t="s">
        <v>149</v>
      </c>
      <c r="H131" t="s">
        <v>150</v>
      </c>
      <c r="I131" t="s">
        <v>726</v>
      </c>
      <c r="J131" t="s">
        <v>153</v>
      </c>
      <c r="K131" t="s">
        <v>72</v>
      </c>
      <c r="O131" t="s">
        <v>153</v>
      </c>
      <c r="Q131">
        <v>0</v>
      </c>
      <c r="R131">
        <v>0</v>
      </c>
      <c r="U131" t="s">
        <v>73</v>
      </c>
      <c r="V131" t="s">
        <v>72</v>
      </c>
      <c r="W131" t="s">
        <v>72</v>
      </c>
      <c r="X131" t="s">
        <v>72</v>
      </c>
      <c r="Y131">
        <v>0</v>
      </c>
      <c r="Z131">
        <v>0</v>
      </c>
      <c r="AC131" t="s">
        <v>73</v>
      </c>
      <c r="AD131" t="s">
        <v>72</v>
      </c>
      <c r="AE131" t="s">
        <v>72</v>
      </c>
      <c r="AF131" t="s">
        <v>72</v>
      </c>
      <c r="AG131">
        <v>0</v>
      </c>
      <c r="AH131">
        <v>0</v>
      </c>
      <c r="AK131" t="s">
        <v>73</v>
      </c>
      <c r="AL131" t="s">
        <v>72</v>
      </c>
      <c r="AM131" t="s">
        <v>72</v>
      </c>
      <c r="AN131" t="s">
        <v>72</v>
      </c>
      <c r="AO131">
        <v>0</v>
      </c>
      <c r="AP131">
        <v>0</v>
      </c>
      <c r="AS131" t="s">
        <v>73</v>
      </c>
      <c r="AT131" t="s">
        <v>72</v>
      </c>
      <c r="AU131" t="s">
        <v>72</v>
      </c>
      <c r="AV131" t="s">
        <v>72</v>
      </c>
      <c r="AY131">
        <v>0</v>
      </c>
    </row>
    <row r="132" spans="1:51" x14ac:dyDescent="0.2">
      <c r="A132" t="s">
        <v>727</v>
      </c>
      <c r="B132" t="s">
        <v>54</v>
      </c>
      <c r="C132" t="s">
        <v>55</v>
      </c>
      <c r="D132" t="s">
        <v>56</v>
      </c>
      <c r="E132" t="s">
        <v>57</v>
      </c>
      <c r="F132" t="s">
        <v>58</v>
      </c>
      <c r="G132" t="s">
        <v>149</v>
      </c>
      <c r="H132" t="s">
        <v>150</v>
      </c>
      <c r="I132" t="s">
        <v>728</v>
      </c>
      <c r="J132" t="s">
        <v>153</v>
      </c>
      <c r="K132" t="s">
        <v>72</v>
      </c>
      <c r="O132" t="s">
        <v>153</v>
      </c>
      <c r="Q132">
        <v>0</v>
      </c>
      <c r="R132">
        <v>0</v>
      </c>
      <c r="U132" t="s">
        <v>73</v>
      </c>
      <c r="V132" t="s">
        <v>72</v>
      </c>
      <c r="W132" t="s">
        <v>72</v>
      </c>
      <c r="X132" t="s">
        <v>72</v>
      </c>
      <c r="Y132">
        <v>0</v>
      </c>
      <c r="Z132">
        <v>0</v>
      </c>
      <c r="AC132" t="s">
        <v>73</v>
      </c>
      <c r="AD132" t="s">
        <v>72</v>
      </c>
      <c r="AE132" t="s">
        <v>72</v>
      </c>
      <c r="AF132" t="s">
        <v>72</v>
      </c>
      <c r="AG132">
        <v>0</v>
      </c>
      <c r="AH132">
        <v>0</v>
      </c>
      <c r="AK132" t="s">
        <v>73</v>
      </c>
      <c r="AL132" t="s">
        <v>72</v>
      </c>
      <c r="AM132" t="s">
        <v>72</v>
      </c>
      <c r="AN132" t="s">
        <v>72</v>
      </c>
      <c r="AO132">
        <v>0</v>
      </c>
      <c r="AP132">
        <v>0</v>
      </c>
      <c r="AS132" t="s">
        <v>73</v>
      </c>
      <c r="AT132" t="s">
        <v>72</v>
      </c>
      <c r="AU132" t="s">
        <v>72</v>
      </c>
      <c r="AV132" t="s">
        <v>72</v>
      </c>
      <c r="AY132">
        <v>0</v>
      </c>
    </row>
    <row r="133" spans="1:51" x14ac:dyDescent="0.2">
      <c r="A133" t="s">
        <v>729</v>
      </c>
      <c r="B133" t="s">
        <v>54</v>
      </c>
      <c r="C133" t="s">
        <v>55</v>
      </c>
      <c r="D133" t="s">
        <v>56</v>
      </c>
      <c r="E133" t="s">
        <v>57</v>
      </c>
      <c r="F133" t="s">
        <v>58</v>
      </c>
      <c r="G133" t="s">
        <v>149</v>
      </c>
      <c r="H133" t="s">
        <v>150</v>
      </c>
      <c r="I133" t="s">
        <v>730</v>
      </c>
      <c r="J133" t="s">
        <v>153</v>
      </c>
      <c r="K133" t="s">
        <v>72</v>
      </c>
      <c r="O133" t="s">
        <v>153</v>
      </c>
      <c r="Q133">
        <v>0</v>
      </c>
      <c r="R133">
        <v>0</v>
      </c>
      <c r="U133" t="s">
        <v>73</v>
      </c>
      <c r="V133" t="s">
        <v>72</v>
      </c>
      <c r="W133" t="s">
        <v>72</v>
      </c>
      <c r="X133" t="s">
        <v>72</v>
      </c>
      <c r="Y133">
        <v>0</v>
      </c>
      <c r="Z133">
        <v>0</v>
      </c>
      <c r="AC133" t="s">
        <v>73</v>
      </c>
      <c r="AD133" t="s">
        <v>72</v>
      </c>
      <c r="AE133" t="s">
        <v>72</v>
      </c>
      <c r="AF133" t="s">
        <v>72</v>
      </c>
      <c r="AG133">
        <v>0</v>
      </c>
      <c r="AH133">
        <v>0</v>
      </c>
      <c r="AK133" t="s">
        <v>73</v>
      </c>
      <c r="AL133" t="s">
        <v>72</v>
      </c>
      <c r="AM133" t="s">
        <v>72</v>
      </c>
      <c r="AN133" t="s">
        <v>72</v>
      </c>
      <c r="AO133">
        <v>0</v>
      </c>
      <c r="AP133">
        <v>0</v>
      </c>
      <c r="AS133" t="s">
        <v>73</v>
      </c>
      <c r="AT133" t="s">
        <v>72</v>
      </c>
      <c r="AU133" t="s">
        <v>72</v>
      </c>
      <c r="AV133" t="s">
        <v>72</v>
      </c>
      <c r="AY133">
        <v>0</v>
      </c>
    </row>
    <row r="134" spans="1:51" x14ac:dyDescent="0.2">
      <c r="A134" t="s">
        <v>731</v>
      </c>
      <c r="B134" t="s">
        <v>54</v>
      </c>
      <c r="C134" t="s">
        <v>55</v>
      </c>
      <c r="D134" t="s">
        <v>56</v>
      </c>
      <c r="E134" t="s">
        <v>57</v>
      </c>
      <c r="F134" t="s">
        <v>58</v>
      </c>
      <c r="G134" t="s">
        <v>149</v>
      </c>
      <c r="H134" t="s">
        <v>150</v>
      </c>
      <c r="I134" t="s">
        <v>732</v>
      </c>
      <c r="J134" t="s">
        <v>153</v>
      </c>
      <c r="K134" t="s">
        <v>72</v>
      </c>
      <c r="O134" t="s">
        <v>153</v>
      </c>
      <c r="Q134">
        <v>0</v>
      </c>
      <c r="R134">
        <v>0</v>
      </c>
      <c r="U134" t="s">
        <v>73</v>
      </c>
      <c r="V134" t="s">
        <v>72</v>
      </c>
      <c r="W134" t="s">
        <v>72</v>
      </c>
      <c r="X134" t="s">
        <v>72</v>
      </c>
      <c r="Y134">
        <v>0</v>
      </c>
      <c r="Z134">
        <v>0</v>
      </c>
      <c r="AC134" t="s">
        <v>73</v>
      </c>
      <c r="AD134" t="s">
        <v>72</v>
      </c>
      <c r="AE134" t="s">
        <v>72</v>
      </c>
      <c r="AF134" t="s">
        <v>72</v>
      </c>
      <c r="AG134">
        <v>0</v>
      </c>
      <c r="AH134">
        <v>0</v>
      </c>
      <c r="AK134" t="s">
        <v>73</v>
      </c>
      <c r="AL134" t="s">
        <v>72</v>
      </c>
      <c r="AM134" t="s">
        <v>72</v>
      </c>
      <c r="AN134" t="s">
        <v>72</v>
      </c>
      <c r="AO134">
        <v>0</v>
      </c>
      <c r="AP134">
        <v>0</v>
      </c>
      <c r="AS134" t="s">
        <v>73</v>
      </c>
      <c r="AT134" t="s">
        <v>72</v>
      </c>
      <c r="AU134" t="s">
        <v>72</v>
      </c>
      <c r="AV134" t="s">
        <v>72</v>
      </c>
      <c r="AY134">
        <v>0</v>
      </c>
    </row>
    <row r="135" spans="1:51" x14ac:dyDescent="0.2">
      <c r="A135" t="s">
        <v>733</v>
      </c>
      <c r="B135" t="s">
        <v>54</v>
      </c>
      <c r="C135" t="s">
        <v>55</v>
      </c>
      <c r="D135" t="s">
        <v>56</v>
      </c>
      <c r="E135" t="s">
        <v>57</v>
      </c>
      <c r="F135" t="s">
        <v>58</v>
      </c>
      <c r="G135" t="s">
        <v>149</v>
      </c>
      <c r="H135" t="s">
        <v>150</v>
      </c>
      <c r="I135" t="s">
        <v>734</v>
      </c>
      <c r="J135" t="s">
        <v>153</v>
      </c>
      <c r="K135" t="s">
        <v>72</v>
      </c>
      <c r="O135" t="s">
        <v>153</v>
      </c>
      <c r="Q135">
        <v>0</v>
      </c>
      <c r="R135">
        <v>0</v>
      </c>
      <c r="U135" t="s">
        <v>73</v>
      </c>
      <c r="V135" t="s">
        <v>72</v>
      </c>
      <c r="W135" t="s">
        <v>72</v>
      </c>
      <c r="X135" t="s">
        <v>72</v>
      </c>
      <c r="Y135">
        <v>0</v>
      </c>
      <c r="Z135">
        <v>0</v>
      </c>
      <c r="AC135" t="s">
        <v>73</v>
      </c>
      <c r="AD135" t="s">
        <v>72</v>
      </c>
      <c r="AE135" t="s">
        <v>72</v>
      </c>
      <c r="AF135" t="s">
        <v>72</v>
      </c>
      <c r="AG135">
        <v>0</v>
      </c>
      <c r="AH135">
        <v>0</v>
      </c>
      <c r="AK135" t="s">
        <v>73</v>
      </c>
      <c r="AL135" t="s">
        <v>72</v>
      </c>
      <c r="AM135" t="s">
        <v>72</v>
      </c>
      <c r="AN135" t="s">
        <v>72</v>
      </c>
      <c r="AO135">
        <v>0</v>
      </c>
      <c r="AP135">
        <v>0</v>
      </c>
      <c r="AS135" t="s">
        <v>73</v>
      </c>
      <c r="AT135" t="s">
        <v>72</v>
      </c>
      <c r="AU135" t="s">
        <v>72</v>
      </c>
      <c r="AV135" t="s">
        <v>72</v>
      </c>
      <c r="AY135">
        <v>0</v>
      </c>
    </row>
    <row r="136" spans="1:51" x14ac:dyDescent="0.2">
      <c r="A136" t="s">
        <v>735</v>
      </c>
      <c r="B136" t="s">
        <v>54</v>
      </c>
      <c r="C136" t="s">
        <v>55</v>
      </c>
      <c r="D136" t="s">
        <v>56</v>
      </c>
      <c r="E136" t="s">
        <v>57</v>
      </c>
      <c r="F136" t="s">
        <v>58</v>
      </c>
      <c r="G136" t="s">
        <v>149</v>
      </c>
      <c r="H136" t="s">
        <v>150</v>
      </c>
      <c r="I136" t="s">
        <v>736</v>
      </c>
      <c r="J136" t="s">
        <v>153</v>
      </c>
      <c r="K136" t="s">
        <v>72</v>
      </c>
      <c r="O136" t="s">
        <v>153</v>
      </c>
      <c r="Q136">
        <v>0</v>
      </c>
      <c r="R136">
        <v>0</v>
      </c>
      <c r="U136" t="s">
        <v>73</v>
      </c>
      <c r="V136" t="s">
        <v>72</v>
      </c>
      <c r="W136" t="s">
        <v>72</v>
      </c>
      <c r="X136" t="s">
        <v>72</v>
      </c>
      <c r="Y136">
        <v>0</v>
      </c>
      <c r="Z136">
        <v>0</v>
      </c>
      <c r="AC136" t="s">
        <v>73</v>
      </c>
      <c r="AD136" t="s">
        <v>72</v>
      </c>
      <c r="AE136" t="s">
        <v>72</v>
      </c>
      <c r="AF136" t="s">
        <v>72</v>
      </c>
      <c r="AG136">
        <v>0</v>
      </c>
      <c r="AH136">
        <v>0</v>
      </c>
      <c r="AK136" t="s">
        <v>73</v>
      </c>
      <c r="AL136" t="s">
        <v>72</v>
      </c>
      <c r="AM136" t="s">
        <v>72</v>
      </c>
      <c r="AN136" t="s">
        <v>72</v>
      </c>
      <c r="AO136">
        <v>0</v>
      </c>
      <c r="AP136">
        <v>0</v>
      </c>
      <c r="AS136" t="s">
        <v>73</v>
      </c>
      <c r="AT136" t="s">
        <v>72</v>
      </c>
      <c r="AU136" t="s">
        <v>72</v>
      </c>
      <c r="AV136" t="s">
        <v>72</v>
      </c>
      <c r="AY136">
        <v>0</v>
      </c>
    </row>
    <row r="137" spans="1:51" x14ac:dyDescent="0.2">
      <c r="A137" t="s">
        <v>737</v>
      </c>
      <c r="B137" t="s">
        <v>54</v>
      </c>
      <c r="C137" t="s">
        <v>55</v>
      </c>
      <c r="D137" t="s">
        <v>56</v>
      </c>
      <c r="E137" t="s">
        <v>57</v>
      </c>
      <c r="F137" t="s">
        <v>58</v>
      </c>
      <c r="G137" t="s">
        <v>149</v>
      </c>
      <c r="H137" t="s">
        <v>150</v>
      </c>
      <c r="I137" t="s">
        <v>738</v>
      </c>
      <c r="J137" t="s">
        <v>153</v>
      </c>
      <c r="K137" t="s">
        <v>72</v>
      </c>
      <c r="O137" t="s">
        <v>153</v>
      </c>
      <c r="Q137">
        <v>0</v>
      </c>
      <c r="R137">
        <v>0</v>
      </c>
      <c r="U137" t="s">
        <v>73</v>
      </c>
      <c r="V137" t="s">
        <v>72</v>
      </c>
      <c r="W137" t="s">
        <v>72</v>
      </c>
      <c r="X137" t="s">
        <v>72</v>
      </c>
      <c r="Y137">
        <v>0</v>
      </c>
      <c r="Z137">
        <v>0</v>
      </c>
      <c r="AC137" t="s">
        <v>73</v>
      </c>
      <c r="AD137" t="s">
        <v>72</v>
      </c>
      <c r="AE137" t="s">
        <v>72</v>
      </c>
      <c r="AF137" t="s">
        <v>72</v>
      </c>
      <c r="AG137">
        <v>0</v>
      </c>
      <c r="AH137">
        <v>0</v>
      </c>
      <c r="AK137" t="s">
        <v>73</v>
      </c>
      <c r="AL137" t="s">
        <v>72</v>
      </c>
      <c r="AM137" t="s">
        <v>72</v>
      </c>
      <c r="AN137" t="s">
        <v>72</v>
      </c>
      <c r="AO137">
        <v>0</v>
      </c>
      <c r="AP137">
        <v>0</v>
      </c>
      <c r="AS137" t="s">
        <v>73</v>
      </c>
      <c r="AT137" t="s">
        <v>72</v>
      </c>
      <c r="AU137" t="s">
        <v>72</v>
      </c>
      <c r="AV137" t="s">
        <v>72</v>
      </c>
      <c r="AY137">
        <v>0</v>
      </c>
    </row>
    <row r="138" spans="1:51" x14ac:dyDescent="0.2">
      <c r="A138" t="s">
        <v>739</v>
      </c>
      <c r="B138" t="s">
        <v>54</v>
      </c>
      <c r="C138" t="s">
        <v>55</v>
      </c>
      <c r="D138" t="s">
        <v>56</v>
      </c>
      <c r="E138" t="s">
        <v>57</v>
      </c>
      <c r="F138" t="s">
        <v>58</v>
      </c>
      <c r="G138" t="s">
        <v>740</v>
      </c>
      <c r="H138" t="s">
        <v>741</v>
      </c>
      <c r="I138" t="s">
        <v>742</v>
      </c>
      <c r="J138" t="s">
        <v>743</v>
      </c>
      <c r="K138" t="s">
        <v>72</v>
      </c>
      <c r="O138" t="s">
        <v>743</v>
      </c>
      <c r="Q138">
        <v>0</v>
      </c>
      <c r="R138">
        <v>0</v>
      </c>
      <c r="U138" t="s">
        <v>73</v>
      </c>
      <c r="V138" t="s">
        <v>72</v>
      </c>
      <c r="W138" t="s">
        <v>72</v>
      </c>
      <c r="X138" t="s">
        <v>72</v>
      </c>
      <c r="Y138">
        <v>0</v>
      </c>
      <c r="Z138">
        <v>0</v>
      </c>
      <c r="AC138" t="s">
        <v>73</v>
      </c>
      <c r="AD138" t="s">
        <v>72</v>
      </c>
      <c r="AE138" t="s">
        <v>72</v>
      </c>
      <c r="AF138" t="s">
        <v>72</v>
      </c>
      <c r="AG138">
        <v>0</v>
      </c>
      <c r="AH138">
        <v>0</v>
      </c>
      <c r="AK138" t="s">
        <v>73</v>
      </c>
      <c r="AL138" t="s">
        <v>72</v>
      </c>
      <c r="AM138" t="s">
        <v>72</v>
      </c>
      <c r="AN138" t="s">
        <v>72</v>
      </c>
      <c r="AO138">
        <v>0</v>
      </c>
      <c r="AP138">
        <v>0</v>
      </c>
      <c r="AS138" t="s">
        <v>73</v>
      </c>
      <c r="AT138" t="s">
        <v>72</v>
      </c>
      <c r="AU138" t="s">
        <v>72</v>
      </c>
      <c r="AV138" t="s">
        <v>72</v>
      </c>
      <c r="AY138">
        <v>0</v>
      </c>
    </row>
    <row r="139" spans="1:51" x14ac:dyDescent="0.2">
      <c r="A139" t="s">
        <v>744</v>
      </c>
      <c r="B139" t="s">
        <v>54</v>
      </c>
      <c r="C139" t="s">
        <v>55</v>
      </c>
      <c r="D139" t="s">
        <v>56</v>
      </c>
      <c r="E139" t="s">
        <v>57</v>
      </c>
      <c r="F139" t="s">
        <v>58</v>
      </c>
      <c r="G139" t="s">
        <v>740</v>
      </c>
      <c r="H139" t="s">
        <v>741</v>
      </c>
      <c r="I139" t="s">
        <v>745</v>
      </c>
      <c r="J139" t="s">
        <v>743</v>
      </c>
      <c r="K139" t="s">
        <v>72</v>
      </c>
      <c r="O139" t="s">
        <v>743</v>
      </c>
      <c r="Q139">
        <v>0</v>
      </c>
      <c r="R139">
        <v>0</v>
      </c>
      <c r="U139" t="s">
        <v>73</v>
      </c>
      <c r="V139" t="s">
        <v>72</v>
      </c>
      <c r="W139" t="s">
        <v>72</v>
      </c>
      <c r="X139" t="s">
        <v>72</v>
      </c>
      <c r="Y139">
        <v>0</v>
      </c>
      <c r="Z139">
        <v>0</v>
      </c>
      <c r="AC139" t="s">
        <v>73</v>
      </c>
      <c r="AD139" t="s">
        <v>72</v>
      </c>
      <c r="AE139" t="s">
        <v>72</v>
      </c>
      <c r="AF139" t="s">
        <v>72</v>
      </c>
      <c r="AG139">
        <v>0</v>
      </c>
      <c r="AH139">
        <v>0</v>
      </c>
      <c r="AK139" t="s">
        <v>73</v>
      </c>
      <c r="AL139" t="s">
        <v>72</v>
      </c>
      <c r="AM139" t="s">
        <v>72</v>
      </c>
      <c r="AN139" t="s">
        <v>72</v>
      </c>
      <c r="AO139">
        <v>0</v>
      </c>
      <c r="AP139">
        <v>0</v>
      </c>
      <c r="AS139" t="s">
        <v>73</v>
      </c>
      <c r="AT139" t="s">
        <v>72</v>
      </c>
      <c r="AU139" t="s">
        <v>72</v>
      </c>
      <c r="AV139" t="s">
        <v>72</v>
      </c>
      <c r="AY139">
        <v>0</v>
      </c>
    </row>
    <row r="140" spans="1:51" x14ac:dyDescent="0.2">
      <c r="A140" t="s">
        <v>746</v>
      </c>
      <c r="B140" t="s">
        <v>54</v>
      </c>
      <c r="C140" t="s">
        <v>55</v>
      </c>
      <c r="D140" t="s">
        <v>56</v>
      </c>
      <c r="E140" t="s">
        <v>57</v>
      </c>
      <c r="F140" t="s">
        <v>58</v>
      </c>
      <c r="G140" t="s">
        <v>740</v>
      </c>
      <c r="H140" t="s">
        <v>741</v>
      </c>
      <c r="I140" t="s">
        <v>747</v>
      </c>
      <c r="J140" t="s">
        <v>743</v>
      </c>
      <c r="K140" t="s">
        <v>72</v>
      </c>
      <c r="O140" t="s">
        <v>743</v>
      </c>
      <c r="Q140">
        <v>0</v>
      </c>
      <c r="R140">
        <v>0</v>
      </c>
      <c r="U140" t="s">
        <v>73</v>
      </c>
      <c r="V140" t="s">
        <v>72</v>
      </c>
      <c r="W140" t="s">
        <v>72</v>
      </c>
      <c r="X140" t="s">
        <v>72</v>
      </c>
      <c r="Y140">
        <v>0</v>
      </c>
      <c r="Z140">
        <v>0</v>
      </c>
      <c r="AC140" t="s">
        <v>73</v>
      </c>
      <c r="AD140" t="s">
        <v>72</v>
      </c>
      <c r="AE140" t="s">
        <v>72</v>
      </c>
      <c r="AF140" t="s">
        <v>72</v>
      </c>
      <c r="AG140">
        <v>0</v>
      </c>
      <c r="AH140">
        <v>0</v>
      </c>
      <c r="AK140" t="s">
        <v>73</v>
      </c>
      <c r="AL140" t="s">
        <v>72</v>
      </c>
      <c r="AM140" t="s">
        <v>72</v>
      </c>
      <c r="AN140" t="s">
        <v>72</v>
      </c>
      <c r="AO140">
        <v>0</v>
      </c>
      <c r="AP140">
        <v>0</v>
      </c>
      <c r="AS140" t="s">
        <v>73</v>
      </c>
      <c r="AT140" t="s">
        <v>72</v>
      </c>
      <c r="AU140" t="s">
        <v>72</v>
      </c>
      <c r="AV140" t="s">
        <v>72</v>
      </c>
      <c r="AY140">
        <v>0</v>
      </c>
    </row>
    <row r="141" spans="1:51" x14ac:dyDescent="0.2">
      <c r="A141" t="s">
        <v>748</v>
      </c>
      <c r="B141" t="s">
        <v>54</v>
      </c>
      <c r="C141" t="s">
        <v>55</v>
      </c>
      <c r="D141" t="s">
        <v>56</v>
      </c>
      <c r="E141" t="s">
        <v>57</v>
      </c>
      <c r="F141" t="s">
        <v>58</v>
      </c>
      <c r="G141" t="s">
        <v>740</v>
      </c>
      <c r="H141" t="s">
        <v>741</v>
      </c>
      <c r="I141" t="s">
        <v>749</v>
      </c>
      <c r="J141" t="s">
        <v>743</v>
      </c>
      <c r="K141" t="s">
        <v>72</v>
      </c>
      <c r="O141" t="s">
        <v>743</v>
      </c>
      <c r="Q141">
        <v>0</v>
      </c>
      <c r="R141">
        <v>0</v>
      </c>
      <c r="U141" t="s">
        <v>73</v>
      </c>
      <c r="V141" t="s">
        <v>72</v>
      </c>
      <c r="W141" t="s">
        <v>72</v>
      </c>
      <c r="X141" t="s">
        <v>72</v>
      </c>
      <c r="Y141">
        <v>0</v>
      </c>
      <c r="Z141">
        <v>0</v>
      </c>
      <c r="AC141" t="s">
        <v>73</v>
      </c>
      <c r="AD141" t="s">
        <v>72</v>
      </c>
      <c r="AE141" t="s">
        <v>72</v>
      </c>
      <c r="AF141" t="s">
        <v>72</v>
      </c>
      <c r="AG141">
        <v>0</v>
      </c>
      <c r="AH141">
        <v>0</v>
      </c>
      <c r="AK141" t="s">
        <v>73</v>
      </c>
      <c r="AL141" t="s">
        <v>72</v>
      </c>
      <c r="AM141" t="s">
        <v>72</v>
      </c>
      <c r="AN141" t="s">
        <v>72</v>
      </c>
      <c r="AO141">
        <v>0</v>
      </c>
      <c r="AP141">
        <v>0</v>
      </c>
      <c r="AS141" t="s">
        <v>73</v>
      </c>
      <c r="AT141" t="s">
        <v>72</v>
      </c>
      <c r="AU141" t="s">
        <v>72</v>
      </c>
      <c r="AV141" t="s">
        <v>72</v>
      </c>
      <c r="AY141">
        <v>0</v>
      </c>
    </row>
    <row r="142" spans="1:51" x14ac:dyDescent="0.2">
      <c r="A142" t="s">
        <v>750</v>
      </c>
      <c r="B142" t="s">
        <v>54</v>
      </c>
      <c r="C142" t="s">
        <v>55</v>
      </c>
      <c r="D142" t="s">
        <v>56</v>
      </c>
      <c r="E142" t="s">
        <v>57</v>
      </c>
      <c r="F142" t="s">
        <v>58</v>
      </c>
      <c r="G142" t="s">
        <v>59</v>
      </c>
      <c r="H142" t="s">
        <v>60</v>
      </c>
      <c r="I142" t="s">
        <v>751</v>
      </c>
      <c r="J142" t="s">
        <v>67</v>
      </c>
      <c r="K142" t="s">
        <v>72</v>
      </c>
      <c r="O142" t="s">
        <v>67</v>
      </c>
      <c r="Q142">
        <v>0</v>
      </c>
      <c r="R142">
        <v>0</v>
      </c>
      <c r="U142" t="s">
        <v>73</v>
      </c>
      <c r="V142" t="s">
        <v>72</v>
      </c>
      <c r="W142" t="s">
        <v>72</v>
      </c>
      <c r="X142" t="s">
        <v>72</v>
      </c>
      <c r="Y142">
        <v>0</v>
      </c>
      <c r="Z142">
        <v>0</v>
      </c>
      <c r="AC142" t="s">
        <v>73</v>
      </c>
      <c r="AD142" t="s">
        <v>72</v>
      </c>
      <c r="AE142" t="s">
        <v>72</v>
      </c>
      <c r="AF142" t="s">
        <v>72</v>
      </c>
      <c r="AG142">
        <v>0</v>
      </c>
      <c r="AH142">
        <v>0</v>
      </c>
      <c r="AK142" t="s">
        <v>73</v>
      </c>
      <c r="AL142" t="s">
        <v>72</v>
      </c>
      <c r="AM142" t="s">
        <v>72</v>
      </c>
      <c r="AN142" t="s">
        <v>72</v>
      </c>
      <c r="AO142">
        <v>0</v>
      </c>
      <c r="AP142">
        <v>0</v>
      </c>
      <c r="AS142" t="s">
        <v>73</v>
      </c>
      <c r="AT142" t="s">
        <v>72</v>
      </c>
      <c r="AU142" t="s">
        <v>72</v>
      </c>
      <c r="AV142" t="s">
        <v>72</v>
      </c>
      <c r="AY142">
        <v>0</v>
      </c>
    </row>
    <row r="143" spans="1:51" x14ac:dyDescent="0.2">
      <c r="A143" t="s">
        <v>752</v>
      </c>
      <c r="B143" t="s">
        <v>54</v>
      </c>
      <c r="C143" t="s">
        <v>55</v>
      </c>
      <c r="D143" t="s">
        <v>56</v>
      </c>
      <c r="E143" t="s">
        <v>57</v>
      </c>
      <c r="F143" t="s">
        <v>58</v>
      </c>
      <c r="G143" t="s">
        <v>753</v>
      </c>
      <c r="H143" t="s">
        <v>754</v>
      </c>
      <c r="I143" t="s">
        <v>755</v>
      </c>
      <c r="J143" t="s">
        <v>756</v>
      </c>
      <c r="K143" t="s">
        <v>72</v>
      </c>
      <c r="O143" t="s">
        <v>756</v>
      </c>
      <c r="Q143">
        <v>0</v>
      </c>
      <c r="R143">
        <v>0</v>
      </c>
      <c r="U143" t="s">
        <v>73</v>
      </c>
      <c r="V143" t="s">
        <v>72</v>
      </c>
      <c r="W143" t="s">
        <v>72</v>
      </c>
      <c r="X143" t="s">
        <v>72</v>
      </c>
      <c r="Y143">
        <v>0</v>
      </c>
      <c r="Z143">
        <v>0</v>
      </c>
      <c r="AC143" t="s">
        <v>73</v>
      </c>
      <c r="AD143" t="s">
        <v>72</v>
      </c>
      <c r="AE143" t="s">
        <v>72</v>
      </c>
      <c r="AF143" t="s">
        <v>72</v>
      </c>
      <c r="AG143">
        <v>0</v>
      </c>
      <c r="AH143">
        <v>0</v>
      </c>
      <c r="AK143" t="s">
        <v>73</v>
      </c>
      <c r="AL143" t="s">
        <v>72</v>
      </c>
      <c r="AM143" t="s">
        <v>72</v>
      </c>
      <c r="AN143" t="s">
        <v>72</v>
      </c>
      <c r="AO143">
        <v>0</v>
      </c>
      <c r="AP143">
        <v>0</v>
      </c>
      <c r="AS143" t="s">
        <v>73</v>
      </c>
      <c r="AT143" t="s">
        <v>72</v>
      </c>
      <c r="AU143" t="s">
        <v>72</v>
      </c>
      <c r="AV143" t="s">
        <v>72</v>
      </c>
      <c r="AY143">
        <v>0</v>
      </c>
    </row>
    <row r="144" spans="1:51" x14ac:dyDescent="0.2">
      <c r="A144" t="s">
        <v>757</v>
      </c>
      <c r="B144" t="s">
        <v>54</v>
      </c>
      <c r="C144" t="s">
        <v>55</v>
      </c>
      <c r="D144" t="s">
        <v>56</v>
      </c>
      <c r="E144" t="s">
        <v>57</v>
      </c>
      <c r="F144" t="s">
        <v>58</v>
      </c>
      <c r="G144" t="s">
        <v>753</v>
      </c>
      <c r="H144" t="s">
        <v>754</v>
      </c>
      <c r="I144" t="s">
        <v>758</v>
      </c>
      <c r="J144" t="s">
        <v>756</v>
      </c>
      <c r="K144" t="s">
        <v>72</v>
      </c>
      <c r="O144" t="s">
        <v>756</v>
      </c>
      <c r="Q144">
        <v>0</v>
      </c>
      <c r="R144">
        <v>0</v>
      </c>
      <c r="U144" t="s">
        <v>73</v>
      </c>
      <c r="V144" t="s">
        <v>72</v>
      </c>
      <c r="W144" t="s">
        <v>72</v>
      </c>
      <c r="X144" t="s">
        <v>72</v>
      </c>
      <c r="Y144">
        <v>0</v>
      </c>
      <c r="Z144">
        <v>0</v>
      </c>
      <c r="AC144" t="s">
        <v>73</v>
      </c>
      <c r="AD144" t="s">
        <v>72</v>
      </c>
      <c r="AE144" t="s">
        <v>72</v>
      </c>
      <c r="AF144" t="s">
        <v>72</v>
      </c>
      <c r="AG144">
        <v>0</v>
      </c>
      <c r="AH144">
        <v>0</v>
      </c>
      <c r="AK144" t="s">
        <v>73</v>
      </c>
      <c r="AL144" t="s">
        <v>72</v>
      </c>
      <c r="AM144" t="s">
        <v>72</v>
      </c>
      <c r="AN144" t="s">
        <v>72</v>
      </c>
      <c r="AO144">
        <v>0</v>
      </c>
      <c r="AP144">
        <v>0</v>
      </c>
      <c r="AS144" t="s">
        <v>73</v>
      </c>
      <c r="AT144" t="s">
        <v>72</v>
      </c>
      <c r="AU144" t="s">
        <v>72</v>
      </c>
      <c r="AV144" t="s">
        <v>72</v>
      </c>
      <c r="AY144">
        <v>0</v>
      </c>
    </row>
    <row r="145" spans="1:51" x14ac:dyDescent="0.2">
      <c r="A145" t="s">
        <v>759</v>
      </c>
      <c r="B145" t="s">
        <v>54</v>
      </c>
      <c r="C145" t="s">
        <v>55</v>
      </c>
      <c r="D145" t="s">
        <v>56</v>
      </c>
      <c r="E145" t="s">
        <v>57</v>
      </c>
      <c r="F145" t="s">
        <v>58</v>
      </c>
      <c r="G145" t="s">
        <v>753</v>
      </c>
      <c r="H145" t="s">
        <v>754</v>
      </c>
      <c r="I145" t="s">
        <v>760</v>
      </c>
      <c r="J145" t="s">
        <v>756</v>
      </c>
      <c r="K145" t="s">
        <v>72</v>
      </c>
      <c r="O145" t="s">
        <v>756</v>
      </c>
      <c r="Q145">
        <v>0</v>
      </c>
      <c r="R145">
        <v>0</v>
      </c>
      <c r="U145" t="s">
        <v>73</v>
      </c>
      <c r="V145" t="s">
        <v>72</v>
      </c>
      <c r="W145" t="s">
        <v>72</v>
      </c>
      <c r="X145" t="s">
        <v>72</v>
      </c>
      <c r="Y145">
        <v>0</v>
      </c>
      <c r="Z145">
        <v>0</v>
      </c>
      <c r="AC145" t="s">
        <v>73</v>
      </c>
      <c r="AD145" t="s">
        <v>72</v>
      </c>
      <c r="AE145" t="s">
        <v>72</v>
      </c>
      <c r="AF145" t="s">
        <v>72</v>
      </c>
      <c r="AG145">
        <v>0</v>
      </c>
      <c r="AH145">
        <v>0</v>
      </c>
      <c r="AK145" t="s">
        <v>73</v>
      </c>
      <c r="AL145" t="s">
        <v>72</v>
      </c>
      <c r="AM145" t="s">
        <v>72</v>
      </c>
      <c r="AN145" t="s">
        <v>72</v>
      </c>
      <c r="AO145">
        <v>0</v>
      </c>
      <c r="AP145">
        <v>0</v>
      </c>
      <c r="AS145" t="s">
        <v>73</v>
      </c>
      <c r="AT145" t="s">
        <v>72</v>
      </c>
      <c r="AU145" t="s">
        <v>72</v>
      </c>
      <c r="AV145" t="s">
        <v>72</v>
      </c>
      <c r="AY145">
        <v>0</v>
      </c>
    </row>
    <row r="146" spans="1:51" x14ac:dyDescent="0.2">
      <c r="A146" t="s">
        <v>761</v>
      </c>
      <c r="B146" t="s">
        <v>54</v>
      </c>
      <c r="C146" t="s">
        <v>55</v>
      </c>
      <c r="D146" t="s">
        <v>56</v>
      </c>
      <c r="E146" t="s">
        <v>57</v>
      </c>
      <c r="F146" t="s">
        <v>58</v>
      </c>
      <c r="G146" t="s">
        <v>753</v>
      </c>
      <c r="H146" t="s">
        <v>754</v>
      </c>
      <c r="I146" t="s">
        <v>762</v>
      </c>
      <c r="J146" t="s">
        <v>756</v>
      </c>
      <c r="K146" t="s">
        <v>72</v>
      </c>
      <c r="O146" t="s">
        <v>756</v>
      </c>
      <c r="Q146">
        <v>0</v>
      </c>
      <c r="R146">
        <v>0</v>
      </c>
      <c r="U146" t="s">
        <v>73</v>
      </c>
      <c r="V146" t="s">
        <v>72</v>
      </c>
      <c r="W146" t="s">
        <v>72</v>
      </c>
      <c r="X146" t="s">
        <v>72</v>
      </c>
      <c r="Y146">
        <v>0</v>
      </c>
      <c r="Z146">
        <v>0</v>
      </c>
      <c r="AC146" t="s">
        <v>73</v>
      </c>
      <c r="AD146" t="s">
        <v>72</v>
      </c>
      <c r="AE146" t="s">
        <v>72</v>
      </c>
      <c r="AF146" t="s">
        <v>72</v>
      </c>
      <c r="AG146">
        <v>0</v>
      </c>
      <c r="AH146">
        <v>0</v>
      </c>
      <c r="AK146" t="s">
        <v>73</v>
      </c>
      <c r="AL146" t="s">
        <v>72</v>
      </c>
      <c r="AM146" t="s">
        <v>72</v>
      </c>
      <c r="AN146" t="s">
        <v>72</v>
      </c>
      <c r="AO146">
        <v>0</v>
      </c>
      <c r="AP146">
        <v>0</v>
      </c>
      <c r="AS146" t="s">
        <v>73</v>
      </c>
      <c r="AT146" t="s">
        <v>72</v>
      </c>
      <c r="AU146" t="s">
        <v>72</v>
      </c>
      <c r="AV146" t="s">
        <v>72</v>
      </c>
      <c r="AY146">
        <v>0</v>
      </c>
    </row>
    <row r="147" spans="1:51" x14ac:dyDescent="0.2">
      <c r="A147" t="s">
        <v>763</v>
      </c>
      <c r="B147" t="s">
        <v>54</v>
      </c>
      <c r="C147" t="s">
        <v>55</v>
      </c>
      <c r="D147" t="s">
        <v>56</v>
      </c>
      <c r="E147" t="s">
        <v>57</v>
      </c>
      <c r="F147" t="s">
        <v>58</v>
      </c>
      <c r="G147" t="s">
        <v>753</v>
      </c>
      <c r="H147" t="s">
        <v>754</v>
      </c>
      <c r="I147" t="s">
        <v>764</v>
      </c>
      <c r="J147" t="s">
        <v>756</v>
      </c>
      <c r="K147" t="s">
        <v>72</v>
      </c>
      <c r="O147" t="s">
        <v>756</v>
      </c>
      <c r="Q147">
        <v>0</v>
      </c>
      <c r="R147">
        <v>0</v>
      </c>
      <c r="U147" t="s">
        <v>73</v>
      </c>
      <c r="V147" t="s">
        <v>72</v>
      </c>
      <c r="W147" t="s">
        <v>72</v>
      </c>
      <c r="X147" t="s">
        <v>72</v>
      </c>
      <c r="Y147">
        <v>0</v>
      </c>
      <c r="Z147">
        <v>0</v>
      </c>
      <c r="AC147" t="s">
        <v>73</v>
      </c>
      <c r="AD147" t="s">
        <v>72</v>
      </c>
      <c r="AE147" t="s">
        <v>72</v>
      </c>
      <c r="AF147" t="s">
        <v>72</v>
      </c>
      <c r="AG147">
        <v>0</v>
      </c>
      <c r="AH147">
        <v>0</v>
      </c>
      <c r="AK147" t="s">
        <v>73</v>
      </c>
      <c r="AL147" t="s">
        <v>72</v>
      </c>
      <c r="AM147" t="s">
        <v>72</v>
      </c>
      <c r="AN147" t="s">
        <v>72</v>
      </c>
      <c r="AO147">
        <v>0</v>
      </c>
      <c r="AP147">
        <v>0</v>
      </c>
      <c r="AS147" t="s">
        <v>73</v>
      </c>
      <c r="AT147" t="s">
        <v>72</v>
      </c>
      <c r="AU147" t="s">
        <v>72</v>
      </c>
      <c r="AV147" t="s">
        <v>72</v>
      </c>
      <c r="AY147">
        <v>0</v>
      </c>
    </row>
    <row r="148" spans="1:51" x14ac:dyDescent="0.2">
      <c r="A148" t="s">
        <v>765</v>
      </c>
      <c r="B148" t="s">
        <v>54</v>
      </c>
      <c r="C148" t="s">
        <v>55</v>
      </c>
      <c r="D148" t="s">
        <v>56</v>
      </c>
      <c r="E148" t="s">
        <v>57</v>
      </c>
      <c r="F148" t="s">
        <v>58</v>
      </c>
      <c r="G148" t="s">
        <v>753</v>
      </c>
      <c r="H148" t="s">
        <v>754</v>
      </c>
      <c r="I148" t="s">
        <v>766</v>
      </c>
      <c r="J148" t="s">
        <v>756</v>
      </c>
      <c r="K148" t="s">
        <v>72</v>
      </c>
      <c r="O148" t="s">
        <v>756</v>
      </c>
      <c r="Q148">
        <v>0</v>
      </c>
      <c r="R148">
        <v>0</v>
      </c>
      <c r="U148" t="s">
        <v>73</v>
      </c>
      <c r="V148" t="s">
        <v>72</v>
      </c>
      <c r="W148" t="s">
        <v>72</v>
      </c>
      <c r="X148" t="s">
        <v>72</v>
      </c>
      <c r="Y148">
        <v>0</v>
      </c>
      <c r="Z148">
        <v>0</v>
      </c>
      <c r="AC148" t="s">
        <v>73</v>
      </c>
      <c r="AD148" t="s">
        <v>72</v>
      </c>
      <c r="AE148" t="s">
        <v>72</v>
      </c>
      <c r="AF148" t="s">
        <v>72</v>
      </c>
      <c r="AG148">
        <v>0</v>
      </c>
      <c r="AH148">
        <v>0</v>
      </c>
      <c r="AK148" t="s">
        <v>73</v>
      </c>
      <c r="AL148" t="s">
        <v>72</v>
      </c>
      <c r="AM148" t="s">
        <v>72</v>
      </c>
      <c r="AN148" t="s">
        <v>72</v>
      </c>
      <c r="AO148">
        <v>0</v>
      </c>
      <c r="AP148">
        <v>0</v>
      </c>
      <c r="AS148" t="s">
        <v>73</v>
      </c>
      <c r="AT148" t="s">
        <v>72</v>
      </c>
      <c r="AU148" t="s">
        <v>72</v>
      </c>
      <c r="AV148" t="s">
        <v>72</v>
      </c>
      <c r="AY148">
        <v>0</v>
      </c>
    </row>
    <row r="149" spans="1:51" x14ac:dyDescent="0.2">
      <c r="A149" t="s">
        <v>767</v>
      </c>
      <c r="B149" t="s">
        <v>54</v>
      </c>
      <c r="C149" t="s">
        <v>55</v>
      </c>
      <c r="D149" t="s">
        <v>56</v>
      </c>
      <c r="E149" t="s">
        <v>57</v>
      </c>
      <c r="F149" t="s">
        <v>58</v>
      </c>
      <c r="G149" t="s">
        <v>753</v>
      </c>
      <c r="H149" t="s">
        <v>754</v>
      </c>
      <c r="I149" t="s">
        <v>768</v>
      </c>
      <c r="J149" t="s">
        <v>756</v>
      </c>
      <c r="K149" t="s">
        <v>72</v>
      </c>
      <c r="O149" t="s">
        <v>756</v>
      </c>
      <c r="Q149">
        <v>0</v>
      </c>
      <c r="R149">
        <v>0</v>
      </c>
      <c r="U149" t="s">
        <v>73</v>
      </c>
      <c r="V149" t="s">
        <v>72</v>
      </c>
      <c r="W149" t="s">
        <v>72</v>
      </c>
      <c r="X149" t="s">
        <v>72</v>
      </c>
      <c r="Y149">
        <v>0</v>
      </c>
      <c r="Z149">
        <v>0</v>
      </c>
      <c r="AC149" t="s">
        <v>73</v>
      </c>
      <c r="AD149" t="s">
        <v>72</v>
      </c>
      <c r="AE149" t="s">
        <v>72</v>
      </c>
      <c r="AF149" t="s">
        <v>72</v>
      </c>
      <c r="AG149">
        <v>0</v>
      </c>
      <c r="AH149">
        <v>0</v>
      </c>
      <c r="AK149" t="s">
        <v>73</v>
      </c>
      <c r="AL149" t="s">
        <v>72</v>
      </c>
      <c r="AM149" t="s">
        <v>72</v>
      </c>
      <c r="AN149" t="s">
        <v>72</v>
      </c>
      <c r="AO149">
        <v>0</v>
      </c>
      <c r="AP149">
        <v>0</v>
      </c>
      <c r="AS149" t="s">
        <v>73</v>
      </c>
      <c r="AT149" t="s">
        <v>72</v>
      </c>
      <c r="AU149" t="s">
        <v>72</v>
      </c>
      <c r="AV149" t="s">
        <v>72</v>
      </c>
      <c r="AY149">
        <v>0</v>
      </c>
    </row>
    <row r="150" spans="1:51" x14ac:dyDescent="0.2">
      <c r="A150" t="s">
        <v>769</v>
      </c>
      <c r="B150" t="s">
        <v>54</v>
      </c>
      <c r="C150" t="s">
        <v>55</v>
      </c>
      <c r="D150" t="s">
        <v>56</v>
      </c>
      <c r="E150" t="s">
        <v>57</v>
      </c>
      <c r="F150" t="s">
        <v>58</v>
      </c>
      <c r="G150" t="s">
        <v>753</v>
      </c>
      <c r="H150" t="s">
        <v>754</v>
      </c>
      <c r="I150" t="s">
        <v>770</v>
      </c>
      <c r="J150" t="s">
        <v>756</v>
      </c>
      <c r="K150" t="s">
        <v>72</v>
      </c>
      <c r="O150" t="s">
        <v>756</v>
      </c>
      <c r="Q150">
        <v>0</v>
      </c>
      <c r="R150">
        <v>0</v>
      </c>
      <c r="U150" t="s">
        <v>73</v>
      </c>
      <c r="V150" t="s">
        <v>72</v>
      </c>
      <c r="W150" t="s">
        <v>72</v>
      </c>
      <c r="X150" t="s">
        <v>72</v>
      </c>
      <c r="Y150">
        <v>0</v>
      </c>
      <c r="Z150">
        <v>0</v>
      </c>
      <c r="AC150" t="s">
        <v>73</v>
      </c>
      <c r="AD150" t="s">
        <v>72</v>
      </c>
      <c r="AE150" t="s">
        <v>72</v>
      </c>
      <c r="AF150" t="s">
        <v>72</v>
      </c>
      <c r="AG150">
        <v>0</v>
      </c>
      <c r="AH150">
        <v>0</v>
      </c>
      <c r="AK150" t="s">
        <v>73</v>
      </c>
      <c r="AL150" t="s">
        <v>72</v>
      </c>
      <c r="AM150" t="s">
        <v>72</v>
      </c>
      <c r="AN150" t="s">
        <v>72</v>
      </c>
      <c r="AO150">
        <v>0</v>
      </c>
      <c r="AP150">
        <v>0</v>
      </c>
      <c r="AS150" t="s">
        <v>73</v>
      </c>
      <c r="AT150" t="s">
        <v>72</v>
      </c>
      <c r="AU150" t="s">
        <v>72</v>
      </c>
      <c r="AV150" t="s">
        <v>72</v>
      </c>
      <c r="AY150">
        <v>0</v>
      </c>
    </row>
    <row r="151" spans="1:51" x14ac:dyDescent="0.2">
      <c r="A151" t="s">
        <v>771</v>
      </c>
      <c r="B151" t="s">
        <v>54</v>
      </c>
      <c r="C151" t="s">
        <v>55</v>
      </c>
      <c r="D151" t="s">
        <v>56</v>
      </c>
      <c r="E151" t="s">
        <v>57</v>
      </c>
      <c r="F151" t="s">
        <v>58</v>
      </c>
      <c r="G151" t="s">
        <v>753</v>
      </c>
      <c r="H151" t="s">
        <v>754</v>
      </c>
      <c r="I151" t="s">
        <v>772</v>
      </c>
      <c r="J151" t="s">
        <v>756</v>
      </c>
      <c r="K151" t="s">
        <v>72</v>
      </c>
      <c r="O151" t="s">
        <v>756</v>
      </c>
      <c r="Q151">
        <v>0</v>
      </c>
      <c r="R151">
        <v>0</v>
      </c>
      <c r="U151" t="s">
        <v>73</v>
      </c>
      <c r="V151" t="s">
        <v>72</v>
      </c>
      <c r="W151" t="s">
        <v>72</v>
      </c>
      <c r="X151" t="s">
        <v>72</v>
      </c>
      <c r="Y151">
        <v>0</v>
      </c>
      <c r="Z151">
        <v>0</v>
      </c>
      <c r="AC151" t="s">
        <v>73</v>
      </c>
      <c r="AD151" t="s">
        <v>72</v>
      </c>
      <c r="AE151" t="s">
        <v>72</v>
      </c>
      <c r="AF151" t="s">
        <v>72</v>
      </c>
      <c r="AG151">
        <v>0</v>
      </c>
      <c r="AH151">
        <v>0</v>
      </c>
      <c r="AK151" t="s">
        <v>73</v>
      </c>
      <c r="AL151" t="s">
        <v>72</v>
      </c>
      <c r="AM151" t="s">
        <v>72</v>
      </c>
      <c r="AN151" t="s">
        <v>72</v>
      </c>
      <c r="AO151">
        <v>0</v>
      </c>
      <c r="AP151">
        <v>0</v>
      </c>
      <c r="AS151" t="s">
        <v>73</v>
      </c>
      <c r="AT151" t="s">
        <v>72</v>
      </c>
      <c r="AU151" t="s">
        <v>72</v>
      </c>
      <c r="AV151" t="s">
        <v>72</v>
      </c>
      <c r="AY151">
        <v>0</v>
      </c>
    </row>
    <row r="152" spans="1:51" x14ac:dyDescent="0.2">
      <c r="A152" t="s">
        <v>773</v>
      </c>
      <c r="B152" t="s">
        <v>54</v>
      </c>
      <c r="C152" t="s">
        <v>55</v>
      </c>
      <c r="D152" t="s">
        <v>56</v>
      </c>
      <c r="E152" t="s">
        <v>57</v>
      </c>
      <c r="F152" t="s">
        <v>58</v>
      </c>
      <c r="G152" t="s">
        <v>157</v>
      </c>
      <c r="H152" t="s">
        <v>158</v>
      </c>
      <c r="I152" t="s">
        <v>774</v>
      </c>
      <c r="J152" t="s">
        <v>161</v>
      </c>
      <c r="K152" t="s">
        <v>72</v>
      </c>
      <c r="O152" t="s">
        <v>161</v>
      </c>
      <c r="Q152">
        <v>0</v>
      </c>
      <c r="R152">
        <v>0</v>
      </c>
      <c r="U152" t="s">
        <v>73</v>
      </c>
      <c r="V152" t="s">
        <v>72</v>
      </c>
      <c r="W152" t="s">
        <v>72</v>
      </c>
      <c r="X152" t="s">
        <v>72</v>
      </c>
      <c r="Y152">
        <v>0</v>
      </c>
      <c r="Z152">
        <v>0</v>
      </c>
      <c r="AC152" t="s">
        <v>73</v>
      </c>
      <c r="AD152" t="s">
        <v>72</v>
      </c>
      <c r="AE152" t="s">
        <v>72</v>
      </c>
      <c r="AF152" t="s">
        <v>72</v>
      </c>
      <c r="AG152">
        <v>0</v>
      </c>
      <c r="AH152">
        <v>0</v>
      </c>
      <c r="AK152" t="s">
        <v>73</v>
      </c>
      <c r="AL152" t="s">
        <v>72</v>
      </c>
      <c r="AM152" t="s">
        <v>72</v>
      </c>
      <c r="AN152" t="s">
        <v>72</v>
      </c>
      <c r="AO152">
        <v>0</v>
      </c>
      <c r="AP152">
        <v>0</v>
      </c>
      <c r="AS152" t="s">
        <v>73</v>
      </c>
      <c r="AT152" t="s">
        <v>72</v>
      </c>
      <c r="AU152" t="s">
        <v>72</v>
      </c>
      <c r="AV152" t="s">
        <v>72</v>
      </c>
      <c r="AY152">
        <v>0</v>
      </c>
    </row>
    <row r="153" spans="1:51" x14ac:dyDescent="0.2">
      <c r="A153" t="s">
        <v>775</v>
      </c>
      <c r="B153" t="s">
        <v>54</v>
      </c>
      <c r="C153" t="s">
        <v>55</v>
      </c>
      <c r="D153" t="s">
        <v>56</v>
      </c>
      <c r="E153" t="s">
        <v>57</v>
      </c>
      <c r="F153" t="s">
        <v>58</v>
      </c>
      <c r="G153" t="s">
        <v>157</v>
      </c>
      <c r="H153" t="s">
        <v>158</v>
      </c>
      <c r="I153" t="s">
        <v>776</v>
      </c>
      <c r="J153" t="s">
        <v>161</v>
      </c>
      <c r="K153" t="s">
        <v>72</v>
      </c>
      <c r="O153" t="s">
        <v>161</v>
      </c>
      <c r="Q153">
        <v>0</v>
      </c>
      <c r="R153">
        <v>0</v>
      </c>
      <c r="U153" t="s">
        <v>73</v>
      </c>
      <c r="V153" t="s">
        <v>72</v>
      </c>
      <c r="W153" t="s">
        <v>72</v>
      </c>
      <c r="X153" t="s">
        <v>72</v>
      </c>
      <c r="Y153">
        <v>0</v>
      </c>
      <c r="Z153">
        <v>0</v>
      </c>
      <c r="AC153" t="s">
        <v>73</v>
      </c>
      <c r="AD153" t="s">
        <v>72</v>
      </c>
      <c r="AE153" t="s">
        <v>72</v>
      </c>
      <c r="AF153" t="s">
        <v>72</v>
      </c>
      <c r="AG153">
        <v>0</v>
      </c>
      <c r="AH153">
        <v>0</v>
      </c>
      <c r="AK153" t="s">
        <v>73</v>
      </c>
      <c r="AL153" t="s">
        <v>72</v>
      </c>
      <c r="AM153" t="s">
        <v>72</v>
      </c>
      <c r="AN153" t="s">
        <v>72</v>
      </c>
      <c r="AO153">
        <v>0</v>
      </c>
      <c r="AP153">
        <v>0</v>
      </c>
      <c r="AS153" t="s">
        <v>73</v>
      </c>
      <c r="AT153" t="s">
        <v>72</v>
      </c>
      <c r="AU153" t="s">
        <v>72</v>
      </c>
      <c r="AV153" t="s">
        <v>72</v>
      </c>
      <c r="AY153">
        <v>0</v>
      </c>
    </row>
    <row r="154" spans="1:51" x14ac:dyDescent="0.2">
      <c r="A154" t="s">
        <v>777</v>
      </c>
      <c r="B154" t="s">
        <v>54</v>
      </c>
      <c r="C154" t="s">
        <v>55</v>
      </c>
      <c r="D154" t="s">
        <v>56</v>
      </c>
      <c r="E154" t="s">
        <v>57</v>
      </c>
      <c r="F154" t="s">
        <v>58</v>
      </c>
      <c r="G154" t="s">
        <v>157</v>
      </c>
      <c r="H154" t="s">
        <v>158</v>
      </c>
      <c r="I154" t="s">
        <v>778</v>
      </c>
      <c r="J154" t="s">
        <v>161</v>
      </c>
      <c r="K154" t="s">
        <v>72</v>
      </c>
      <c r="O154" t="s">
        <v>161</v>
      </c>
      <c r="Q154">
        <v>0</v>
      </c>
      <c r="R154">
        <v>0</v>
      </c>
      <c r="U154" t="s">
        <v>73</v>
      </c>
      <c r="V154" t="s">
        <v>72</v>
      </c>
      <c r="W154" t="s">
        <v>72</v>
      </c>
      <c r="X154" t="s">
        <v>72</v>
      </c>
      <c r="Y154">
        <v>0</v>
      </c>
      <c r="Z154">
        <v>0</v>
      </c>
      <c r="AC154" t="s">
        <v>73</v>
      </c>
      <c r="AD154" t="s">
        <v>72</v>
      </c>
      <c r="AE154" t="s">
        <v>72</v>
      </c>
      <c r="AF154" t="s">
        <v>72</v>
      </c>
      <c r="AG154">
        <v>0</v>
      </c>
      <c r="AH154">
        <v>0</v>
      </c>
      <c r="AK154" t="s">
        <v>73</v>
      </c>
      <c r="AL154" t="s">
        <v>72</v>
      </c>
      <c r="AM154" t="s">
        <v>72</v>
      </c>
      <c r="AN154" t="s">
        <v>72</v>
      </c>
      <c r="AO154">
        <v>0</v>
      </c>
      <c r="AP154">
        <v>0</v>
      </c>
      <c r="AS154" t="s">
        <v>73</v>
      </c>
      <c r="AT154" t="s">
        <v>72</v>
      </c>
      <c r="AU154" t="s">
        <v>72</v>
      </c>
      <c r="AV154" t="s">
        <v>72</v>
      </c>
      <c r="AY154">
        <v>0</v>
      </c>
    </row>
    <row r="155" spans="1:51" x14ac:dyDescent="0.2">
      <c r="A155" t="s">
        <v>779</v>
      </c>
      <c r="B155" t="s">
        <v>54</v>
      </c>
      <c r="C155" t="s">
        <v>55</v>
      </c>
      <c r="D155" t="s">
        <v>56</v>
      </c>
      <c r="E155" t="s">
        <v>57</v>
      </c>
      <c r="F155" t="s">
        <v>58</v>
      </c>
      <c r="G155" t="s">
        <v>780</v>
      </c>
      <c r="H155" t="s">
        <v>781</v>
      </c>
      <c r="I155" t="s">
        <v>782</v>
      </c>
      <c r="J155" t="s">
        <v>783</v>
      </c>
      <c r="K155" t="s">
        <v>72</v>
      </c>
      <c r="O155" t="s">
        <v>783</v>
      </c>
      <c r="Q155">
        <v>0</v>
      </c>
      <c r="R155">
        <v>0</v>
      </c>
      <c r="U155" t="s">
        <v>73</v>
      </c>
      <c r="V155" t="s">
        <v>72</v>
      </c>
      <c r="W155" t="s">
        <v>72</v>
      </c>
      <c r="X155" t="s">
        <v>72</v>
      </c>
      <c r="Y155">
        <v>0</v>
      </c>
      <c r="Z155">
        <v>0</v>
      </c>
      <c r="AC155" t="s">
        <v>73</v>
      </c>
      <c r="AD155" t="s">
        <v>72</v>
      </c>
      <c r="AE155" t="s">
        <v>72</v>
      </c>
      <c r="AF155" t="s">
        <v>72</v>
      </c>
      <c r="AG155">
        <v>0</v>
      </c>
      <c r="AH155">
        <v>0</v>
      </c>
      <c r="AK155" t="s">
        <v>73</v>
      </c>
      <c r="AL155" t="s">
        <v>72</v>
      </c>
      <c r="AM155" t="s">
        <v>72</v>
      </c>
      <c r="AN155" t="s">
        <v>72</v>
      </c>
      <c r="AO155">
        <v>0</v>
      </c>
      <c r="AP155">
        <v>0</v>
      </c>
      <c r="AS155" t="s">
        <v>73</v>
      </c>
      <c r="AT155" t="s">
        <v>72</v>
      </c>
      <c r="AU155" t="s">
        <v>72</v>
      </c>
      <c r="AV155" t="s">
        <v>72</v>
      </c>
      <c r="AY155">
        <v>0</v>
      </c>
    </row>
    <row r="156" spans="1:51" x14ac:dyDescent="0.2">
      <c r="A156" t="s">
        <v>784</v>
      </c>
      <c r="B156" t="s">
        <v>54</v>
      </c>
      <c r="C156" t="s">
        <v>55</v>
      </c>
      <c r="D156" t="s">
        <v>56</v>
      </c>
      <c r="E156" t="s">
        <v>57</v>
      </c>
      <c r="F156" t="s">
        <v>58</v>
      </c>
      <c r="G156" t="s">
        <v>780</v>
      </c>
      <c r="H156" t="s">
        <v>781</v>
      </c>
      <c r="I156" t="s">
        <v>785</v>
      </c>
      <c r="J156" t="s">
        <v>783</v>
      </c>
      <c r="K156" t="s">
        <v>72</v>
      </c>
      <c r="O156" t="s">
        <v>783</v>
      </c>
      <c r="Q156">
        <v>0</v>
      </c>
      <c r="R156">
        <v>0</v>
      </c>
      <c r="U156" t="s">
        <v>73</v>
      </c>
      <c r="V156" t="s">
        <v>72</v>
      </c>
      <c r="W156" t="s">
        <v>72</v>
      </c>
      <c r="X156" t="s">
        <v>72</v>
      </c>
      <c r="Y156">
        <v>0</v>
      </c>
      <c r="Z156">
        <v>0</v>
      </c>
      <c r="AC156" t="s">
        <v>73</v>
      </c>
      <c r="AD156" t="s">
        <v>72</v>
      </c>
      <c r="AE156" t="s">
        <v>72</v>
      </c>
      <c r="AF156" t="s">
        <v>72</v>
      </c>
      <c r="AG156">
        <v>0</v>
      </c>
      <c r="AH156">
        <v>0</v>
      </c>
      <c r="AK156" t="s">
        <v>73</v>
      </c>
      <c r="AL156" t="s">
        <v>72</v>
      </c>
      <c r="AM156" t="s">
        <v>72</v>
      </c>
      <c r="AN156" t="s">
        <v>72</v>
      </c>
      <c r="AO156">
        <v>0</v>
      </c>
      <c r="AP156">
        <v>0</v>
      </c>
      <c r="AS156" t="s">
        <v>73</v>
      </c>
      <c r="AT156" t="s">
        <v>72</v>
      </c>
      <c r="AU156" t="s">
        <v>72</v>
      </c>
      <c r="AV156" t="s">
        <v>72</v>
      </c>
      <c r="AY156">
        <v>0</v>
      </c>
    </row>
    <row r="157" spans="1:51" x14ac:dyDescent="0.2">
      <c r="A157" t="s">
        <v>786</v>
      </c>
      <c r="B157" t="s">
        <v>54</v>
      </c>
      <c r="C157" t="s">
        <v>55</v>
      </c>
      <c r="D157" t="s">
        <v>56</v>
      </c>
      <c r="E157" t="s">
        <v>57</v>
      </c>
      <c r="F157" t="s">
        <v>58</v>
      </c>
      <c r="G157" t="s">
        <v>780</v>
      </c>
      <c r="H157" t="s">
        <v>781</v>
      </c>
      <c r="I157" t="s">
        <v>787</v>
      </c>
      <c r="J157" t="s">
        <v>783</v>
      </c>
      <c r="K157" t="s">
        <v>72</v>
      </c>
      <c r="O157" t="s">
        <v>783</v>
      </c>
      <c r="Q157">
        <v>0</v>
      </c>
      <c r="R157">
        <v>0</v>
      </c>
      <c r="U157" t="s">
        <v>73</v>
      </c>
      <c r="V157" t="s">
        <v>72</v>
      </c>
      <c r="W157" t="s">
        <v>72</v>
      </c>
      <c r="X157" t="s">
        <v>72</v>
      </c>
      <c r="Y157">
        <v>0</v>
      </c>
      <c r="Z157">
        <v>0</v>
      </c>
      <c r="AC157" t="s">
        <v>73</v>
      </c>
      <c r="AD157" t="s">
        <v>72</v>
      </c>
      <c r="AE157" t="s">
        <v>72</v>
      </c>
      <c r="AF157" t="s">
        <v>72</v>
      </c>
      <c r="AG157">
        <v>0</v>
      </c>
      <c r="AH157">
        <v>0</v>
      </c>
      <c r="AK157" t="s">
        <v>73</v>
      </c>
      <c r="AL157" t="s">
        <v>72</v>
      </c>
      <c r="AM157" t="s">
        <v>72</v>
      </c>
      <c r="AN157" t="s">
        <v>72</v>
      </c>
      <c r="AO157">
        <v>0</v>
      </c>
      <c r="AP157">
        <v>0</v>
      </c>
      <c r="AS157" t="s">
        <v>73</v>
      </c>
      <c r="AT157" t="s">
        <v>72</v>
      </c>
      <c r="AU157" t="s">
        <v>72</v>
      </c>
      <c r="AV157" t="s">
        <v>72</v>
      </c>
      <c r="AY157">
        <v>0</v>
      </c>
    </row>
    <row r="158" spans="1:51" x14ac:dyDescent="0.2">
      <c r="A158" t="s">
        <v>788</v>
      </c>
      <c r="B158" t="s">
        <v>54</v>
      </c>
      <c r="C158" t="s">
        <v>55</v>
      </c>
      <c r="D158" t="s">
        <v>56</v>
      </c>
      <c r="E158" t="s">
        <v>57</v>
      </c>
      <c r="F158" t="s">
        <v>58</v>
      </c>
      <c r="G158" t="s">
        <v>780</v>
      </c>
      <c r="H158" t="s">
        <v>781</v>
      </c>
      <c r="I158" t="s">
        <v>789</v>
      </c>
      <c r="J158" t="s">
        <v>783</v>
      </c>
      <c r="K158" t="s">
        <v>72</v>
      </c>
      <c r="O158" t="s">
        <v>783</v>
      </c>
      <c r="Q158">
        <v>0</v>
      </c>
      <c r="R158">
        <v>0</v>
      </c>
      <c r="U158" t="s">
        <v>73</v>
      </c>
      <c r="V158" t="s">
        <v>72</v>
      </c>
      <c r="W158" t="s">
        <v>72</v>
      </c>
      <c r="X158" t="s">
        <v>72</v>
      </c>
      <c r="Y158">
        <v>0</v>
      </c>
      <c r="Z158">
        <v>0</v>
      </c>
      <c r="AC158" t="s">
        <v>73</v>
      </c>
      <c r="AD158" t="s">
        <v>72</v>
      </c>
      <c r="AE158" t="s">
        <v>72</v>
      </c>
      <c r="AF158" t="s">
        <v>72</v>
      </c>
      <c r="AG158">
        <v>0</v>
      </c>
      <c r="AH158">
        <v>0</v>
      </c>
      <c r="AK158" t="s">
        <v>73</v>
      </c>
      <c r="AL158" t="s">
        <v>72</v>
      </c>
      <c r="AM158" t="s">
        <v>72</v>
      </c>
      <c r="AN158" t="s">
        <v>72</v>
      </c>
      <c r="AO158">
        <v>0</v>
      </c>
      <c r="AP158">
        <v>0</v>
      </c>
      <c r="AS158" t="s">
        <v>73</v>
      </c>
      <c r="AT158" t="s">
        <v>72</v>
      </c>
      <c r="AU158" t="s">
        <v>72</v>
      </c>
      <c r="AV158" t="s">
        <v>72</v>
      </c>
      <c r="AY158">
        <v>0</v>
      </c>
    </row>
    <row r="159" spans="1:51" x14ac:dyDescent="0.2">
      <c r="A159" t="s">
        <v>790</v>
      </c>
      <c r="B159" t="s">
        <v>54</v>
      </c>
      <c r="C159" t="s">
        <v>55</v>
      </c>
      <c r="D159" t="s">
        <v>56</v>
      </c>
      <c r="E159" t="s">
        <v>57</v>
      </c>
      <c r="F159" t="s">
        <v>58</v>
      </c>
      <c r="G159" t="s">
        <v>780</v>
      </c>
      <c r="H159" t="s">
        <v>781</v>
      </c>
      <c r="I159" t="s">
        <v>791</v>
      </c>
      <c r="J159" t="s">
        <v>783</v>
      </c>
      <c r="K159" t="s">
        <v>72</v>
      </c>
      <c r="O159" t="s">
        <v>783</v>
      </c>
      <c r="Q159">
        <v>0</v>
      </c>
      <c r="R159">
        <v>0</v>
      </c>
      <c r="U159" t="s">
        <v>73</v>
      </c>
      <c r="V159" t="s">
        <v>72</v>
      </c>
      <c r="W159" t="s">
        <v>72</v>
      </c>
      <c r="X159" t="s">
        <v>72</v>
      </c>
      <c r="Y159">
        <v>0</v>
      </c>
      <c r="Z159">
        <v>0</v>
      </c>
      <c r="AC159" t="s">
        <v>73</v>
      </c>
      <c r="AD159" t="s">
        <v>72</v>
      </c>
      <c r="AE159" t="s">
        <v>72</v>
      </c>
      <c r="AF159" t="s">
        <v>72</v>
      </c>
      <c r="AG159">
        <v>0</v>
      </c>
      <c r="AH159">
        <v>0</v>
      </c>
      <c r="AK159" t="s">
        <v>73</v>
      </c>
      <c r="AL159" t="s">
        <v>72</v>
      </c>
      <c r="AM159" t="s">
        <v>72</v>
      </c>
      <c r="AN159" t="s">
        <v>72</v>
      </c>
      <c r="AO159">
        <v>0</v>
      </c>
      <c r="AP159">
        <v>0</v>
      </c>
      <c r="AS159" t="s">
        <v>73</v>
      </c>
      <c r="AT159" t="s">
        <v>72</v>
      </c>
      <c r="AU159" t="s">
        <v>72</v>
      </c>
      <c r="AV159" t="s">
        <v>72</v>
      </c>
      <c r="AY159">
        <v>0</v>
      </c>
    </row>
    <row r="160" spans="1:51" x14ac:dyDescent="0.2">
      <c r="A160" t="s">
        <v>792</v>
      </c>
      <c r="B160" t="s">
        <v>54</v>
      </c>
      <c r="C160" t="s">
        <v>55</v>
      </c>
      <c r="D160" t="s">
        <v>56</v>
      </c>
      <c r="E160" t="s">
        <v>57</v>
      </c>
      <c r="F160" t="s">
        <v>58</v>
      </c>
      <c r="G160" t="s">
        <v>793</v>
      </c>
      <c r="H160" t="s">
        <v>794</v>
      </c>
      <c r="I160" t="s">
        <v>795</v>
      </c>
      <c r="J160" t="s">
        <v>796</v>
      </c>
      <c r="K160" t="s">
        <v>72</v>
      </c>
      <c r="O160" t="s">
        <v>796</v>
      </c>
      <c r="Q160">
        <v>0</v>
      </c>
      <c r="R160">
        <v>0</v>
      </c>
      <c r="U160" t="s">
        <v>73</v>
      </c>
      <c r="V160" t="s">
        <v>72</v>
      </c>
      <c r="W160" t="s">
        <v>72</v>
      </c>
      <c r="X160" t="s">
        <v>72</v>
      </c>
      <c r="Y160">
        <v>0</v>
      </c>
      <c r="Z160">
        <v>0</v>
      </c>
      <c r="AC160" t="s">
        <v>73</v>
      </c>
      <c r="AD160" t="s">
        <v>72</v>
      </c>
      <c r="AE160" t="s">
        <v>72</v>
      </c>
      <c r="AF160" t="s">
        <v>72</v>
      </c>
      <c r="AG160">
        <v>0</v>
      </c>
      <c r="AH160">
        <v>0</v>
      </c>
      <c r="AK160" t="s">
        <v>73</v>
      </c>
      <c r="AL160" t="s">
        <v>72</v>
      </c>
      <c r="AM160" t="s">
        <v>72</v>
      </c>
      <c r="AN160" t="s">
        <v>72</v>
      </c>
      <c r="AO160">
        <v>0</v>
      </c>
      <c r="AP160">
        <v>0</v>
      </c>
      <c r="AS160" t="s">
        <v>73</v>
      </c>
      <c r="AT160" t="s">
        <v>72</v>
      </c>
      <c r="AU160" t="s">
        <v>72</v>
      </c>
      <c r="AV160" t="s">
        <v>72</v>
      </c>
      <c r="AY160">
        <v>0</v>
      </c>
    </row>
    <row r="161" spans="1:51" x14ac:dyDescent="0.2">
      <c r="A161" t="s">
        <v>797</v>
      </c>
      <c r="B161" t="s">
        <v>54</v>
      </c>
      <c r="C161" t="s">
        <v>55</v>
      </c>
      <c r="D161" t="s">
        <v>56</v>
      </c>
      <c r="E161" t="s">
        <v>57</v>
      </c>
      <c r="F161" t="s">
        <v>58</v>
      </c>
      <c r="G161" t="s">
        <v>793</v>
      </c>
      <c r="H161" t="s">
        <v>794</v>
      </c>
      <c r="I161" t="s">
        <v>798</v>
      </c>
      <c r="J161" t="s">
        <v>796</v>
      </c>
      <c r="K161" t="s">
        <v>72</v>
      </c>
      <c r="O161" t="s">
        <v>796</v>
      </c>
      <c r="Q161">
        <v>0</v>
      </c>
      <c r="R161">
        <v>0</v>
      </c>
      <c r="U161" t="s">
        <v>73</v>
      </c>
      <c r="V161" t="s">
        <v>72</v>
      </c>
      <c r="W161" t="s">
        <v>72</v>
      </c>
      <c r="X161" t="s">
        <v>72</v>
      </c>
      <c r="Y161">
        <v>0</v>
      </c>
      <c r="Z161">
        <v>0</v>
      </c>
      <c r="AC161" t="s">
        <v>73</v>
      </c>
      <c r="AD161" t="s">
        <v>72</v>
      </c>
      <c r="AE161" t="s">
        <v>72</v>
      </c>
      <c r="AF161" t="s">
        <v>72</v>
      </c>
      <c r="AG161">
        <v>0</v>
      </c>
      <c r="AH161">
        <v>0</v>
      </c>
      <c r="AK161" t="s">
        <v>73</v>
      </c>
      <c r="AL161" t="s">
        <v>72</v>
      </c>
      <c r="AM161" t="s">
        <v>72</v>
      </c>
      <c r="AN161" t="s">
        <v>72</v>
      </c>
      <c r="AO161">
        <v>0</v>
      </c>
      <c r="AP161">
        <v>0</v>
      </c>
      <c r="AS161" t="s">
        <v>73</v>
      </c>
      <c r="AT161" t="s">
        <v>72</v>
      </c>
      <c r="AU161" t="s">
        <v>72</v>
      </c>
      <c r="AV161" t="s">
        <v>72</v>
      </c>
      <c r="AY161">
        <v>0</v>
      </c>
    </row>
    <row r="162" spans="1:51" x14ac:dyDescent="0.2">
      <c r="A162" t="s">
        <v>799</v>
      </c>
      <c r="B162" t="s">
        <v>54</v>
      </c>
      <c r="C162" t="s">
        <v>55</v>
      </c>
      <c r="D162" t="s">
        <v>56</v>
      </c>
      <c r="E162" t="s">
        <v>57</v>
      </c>
      <c r="F162" t="s">
        <v>58</v>
      </c>
      <c r="G162" t="s">
        <v>793</v>
      </c>
      <c r="H162" t="s">
        <v>794</v>
      </c>
      <c r="I162" t="s">
        <v>800</v>
      </c>
      <c r="J162" t="s">
        <v>796</v>
      </c>
      <c r="K162" t="s">
        <v>72</v>
      </c>
      <c r="O162" t="s">
        <v>796</v>
      </c>
      <c r="Q162">
        <v>0</v>
      </c>
      <c r="R162">
        <v>0</v>
      </c>
      <c r="U162" t="s">
        <v>73</v>
      </c>
      <c r="V162" t="s">
        <v>72</v>
      </c>
      <c r="W162" t="s">
        <v>72</v>
      </c>
      <c r="X162" t="s">
        <v>72</v>
      </c>
      <c r="Y162">
        <v>0</v>
      </c>
      <c r="Z162">
        <v>0</v>
      </c>
      <c r="AC162" t="s">
        <v>73</v>
      </c>
      <c r="AD162" t="s">
        <v>72</v>
      </c>
      <c r="AE162" t="s">
        <v>72</v>
      </c>
      <c r="AF162" t="s">
        <v>72</v>
      </c>
      <c r="AG162">
        <v>0</v>
      </c>
      <c r="AH162">
        <v>0</v>
      </c>
      <c r="AK162" t="s">
        <v>73</v>
      </c>
      <c r="AL162" t="s">
        <v>72</v>
      </c>
      <c r="AM162" t="s">
        <v>72</v>
      </c>
      <c r="AN162" t="s">
        <v>72</v>
      </c>
      <c r="AO162">
        <v>0</v>
      </c>
      <c r="AP162">
        <v>0</v>
      </c>
      <c r="AS162" t="s">
        <v>73</v>
      </c>
      <c r="AT162" t="s">
        <v>72</v>
      </c>
      <c r="AU162" t="s">
        <v>72</v>
      </c>
      <c r="AV162" t="s">
        <v>72</v>
      </c>
      <c r="AY162">
        <v>0</v>
      </c>
    </row>
    <row r="163" spans="1:51" x14ac:dyDescent="0.2">
      <c r="A163" t="s">
        <v>801</v>
      </c>
      <c r="B163" t="s">
        <v>54</v>
      </c>
      <c r="C163" t="s">
        <v>55</v>
      </c>
      <c r="D163" t="s">
        <v>56</v>
      </c>
      <c r="E163" t="s">
        <v>57</v>
      </c>
      <c r="F163" t="s">
        <v>58</v>
      </c>
      <c r="G163" t="s">
        <v>793</v>
      </c>
      <c r="H163" t="s">
        <v>794</v>
      </c>
      <c r="I163" t="s">
        <v>802</v>
      </c>
      <c r="J163" t="s">
        <v>796</v>
      </c>
      <c r="K163" t="s">
        <v>72</v>
      </c>
      <c r="O163" t="s">
        <v>796</v>
      </c>
      <c r="Q163">
        <v>0</v>
      </c>
      <c r="R163">
        <v>0</v>
      </c>
      <c r="U163" t="s">
        <v>73</v>
      </c>
      <c r="V163" t="s">
        <v>72</v>
      </c>
      <c r="W163" t="s">
        <v>72</v>
      </c>
      <c r="X163" t="s">
        <v>72</v>
      </c>
      <c r="Y163">
        <v>0</v>
      </c>
      <c r="Z163">
        <v>0</v>
      </c>
      <c r="AC163" t="s">
        <v>73</v>
      </c>
      <c r="AD163" t="s">
        <v>72</v>
      </c>
      <c r="AE163" t="s">
        <v>72</v>
      </c>
      <c r="AF163" t="s">
        <v>72</v>
      </c>
      <c r="AG163">
        <v>0</v>
      </c>
      <c r="AH163">
        <v>0</v>
      </c>
      <c r="AK163" t="s">
        <v>73</v>
      </c>
      <c r="AL163" t="s">
        <v>72</v>
      </c>
      <c r="AM163" t="s">
        <v>72</v>
      </c>
      <c r="AN163" t="s">
        <v>72</v>
      </c>
      <c r="AO163">
        <v>0</v>
      </c>
      <c r="AP163">
        <v>0</v>
      </c>
      <c r="AS163" t="s">
        <v>73</v>
      </c>
      <c r="AT163" t="s">
        <v>72</v>
      </c>
      <c r="AU163" t="s">
        <v>72</v>
      </c>
      <c r="AV163" t="s">
        <v>72</v>
      </c>
      <c r="AY163">
        <v>0</v>
      </c>
    </row>
    <row r="164" spans="1:51" x14ac:dyDescent="0.2">
      <c r="A164" t="s">
        <v>803</v>
      </c>
      <c r="B164" t="s">
        <v>54</v>
      </c>
      <c r="C164" t="s">
        <v>55</v>
      </c>
      <c r="D164" t="s">
        <v>56</v>
      </c>
      <c r="E164" t="s">
        <v>57</v>
      </c>
      <c r="F164" t="s">
        <v>58</v>
      </c>
      <c r="G164" t="s">
        <v>793</v>
      </c>
      <c r="H164" t="s">
        <v>794</v>
      </c>
      <c r="I164" t="s">
        <v>804</v>
      </c>
      <c r="J164" t="s">
        <v>796</v>
      </c>
      <c r="K164" t="s">
        <v>72</v>
      </c>
      <c r="O164" t="s">
        <v>796</v>
      </c>
      <c r="Q164">
        <v>0</v>
      </c>
      <c r="R164">
        <v>0</v>
      </c>
      <c r="U164" t="s">
        <v>73</v>
      </c>
      <c r="V164" t="s">
        <v>72</v>
      </c>
      <c r="W164" t="s">
        <v>72</v>
      </c>
      <c r="X164" t="s">
        <v>72</v>
      </c>
      <c r="Y164">
        <v>0</v>
      </c>
      <c r="Z164">
        <v>0</v>
      </c>
      <c r="AC164" t="s">
        <v>73</v>
      </c>
      <c r="AD164" t="s">
        <v>72</v>
      </c>
      <c r="AE164" t="s">
        <v>72</v>
      </c>
      <c r="AF164" t="s">
        <v>72</v>
      </c>
      <c r="AG164">
        <v>0</v>
      </c>
      <c r="AH164">
        <v>0</v>
      </c>
      <c r="AK164" t="s">
        <v>73</v>
      </c>
      <c r="AL164" t="s">
        <v>72</v>
      </c>
      <c r="AM164" t="s">
        <v>72</v>
      </c>
      <c r="AN164" t="s">
        <v>72</v>
      </c>
      <c r="AO164">
        <v>0</v>
      </c>
      <c r="AP164">
        <v>0</v>
      </c>
      <c r="AS164" t="s">
        <v>73</v>
      </c>
      <c r="AT164" t="s">
        <v>72</v>
      </c>
      <c r="AU164" t="s">
        <v>72</v>
      </c>
      <c r="AV164" t="s">
        <v>72</v>
      </c>
      <c r="AY164">
        <v>0</v>
      </c>
    </row>
    <row r="165" spans="1:51" x14ac:dyDescent="0.2">
      <c r="A165" t="s">
        <v>805</v>
      </c>
      <c r="B165" t="s">
        <v>54</v>
      </c>
      <c r="C165" t="s">
        <v>55</v>
      </c>
      <c r="D165" t="s">
        <v>56</v>
      </c>
      <c r="E165" t="s">
        <v>57</v>
      </c>
      <c r="F165" t="s">
        <v>58</v>
      </c>
      <c r="G165" t="s">
        <v>174</v>
      </c>
      <c r="H165" t="s">
        <v>175</v>
      </c>
      <c r="I165" t="s">
        <v>806</v>
      </c>
      <c r="J165" t="s">
        <v>178</v>
      </c>
      <c r="K165" t="s">
        <v>72</v>
      </c>
      <c r="O165" t="s">
        <v>178</v>
      </c>
      <c r="Q165">
        <v>0</v>
      </c>
      <c r="R165">
        <v>0</v>
      </c>
      <c r="U165" t="s">
        <v>73</v>
      </c>
      <c r="V165" t="s">
        <v>72</v>
      </c>
      <c r="W165" t="s">
        <v>72</v>
      </c>
      <c r="X165" t="s">
        <v>72</v>
      </c>
      <c r="Y165">
        <v>0</v>
      </c>
      <c r="Z165">
        <v>0</v>
      </c>
      <c r="AC165" t="s">
        <v>73</v>
      </c>
      <c r="AD165" t="s">
        <v>72</v>
      </c>
      <c r="AE165" t="s">
        <v>72</v>
      </c>
      <c r="AF165" t="s">
        <v>72</v>
      </c>
      <c r="AG165">
        <v>0</v>
      </c>
      <c r="AH165">
        <v>0</v>
      </c>
      <c r="AK165" t="s">
        <v>73</v>
      </c>
      <c r="AL165" t="s">
        <v>72</v>
      </c>
      <c r="AM165" t="s">
        <v>72</v>
      </c>
      <c r="AN165" t="s">
        <v>72</v>
      </c>
      <c r="AO165">
        <v>0</v>
      </c>
      <c r="AP165">
        <v>0</v>
      </c>
      <c r="AS165" t="s">
        <v>73</v>
      </c>
      <c r="AT165" t="s">
        <v>72</v>
      </c>
      <c r="AU165" t="s">
        <v>72</v>
      </c>
      <c r="AV165" t="s">
        <v>72</v>
      </c>
      <c r="AY165">
        <v>0</v>
      </c>
    </row>
    <row r="166" spans="1:51" x14ac:dyDescent="0.2">
      <c r="A166" t="s">
        <v>807</v>
      </c>
      <c r="B166" t="s">
        <v>54</v>
      </c>
      <c r="C166" t="s">
        <v>55</v>
      </c>
      <c r="D166" t="s">
        <v>56</v>
      </c>
      <c r="E166" t="s">
        <v>57</v>
      </c>
      <c r="F166" t="s">
        <v>58</v>
      </c>
      <c r="G166" t="s">
        <v>174</v>
      </c>
      <c r="H166" t="s">
        <v>175</v>
      </c>
      <c r="I166" t="s">
        <v>808</v>
      </c>
      <c r="J166" t="s">
        <v>178</v>
      </c>
      <c r="K166" t="s">
        <v>72</v>
      </c>
      <c r="O166" t="s">
        <v>178</v>
      </c>
      <c r="Q166">
        <v>0</v>
      </c>
      <c r="R166">
        <v>0</v>
      </c>
      <c r="U166" t="s">
        <v>73</v>
      </c>
      <c r="V166" t="s">
        <v>72</v>
      </c>
      <c r="W166" t="s">
        <v>72</v>
      </c>
      <c r="X166" t="s">
        <v>72</v>
      </c>
      <c r="Y166">
        <v>0</v>
      </c>
      <c r="Z166">
        <v>0</v>
      </c>
      <c r="AC166" t="s">
        <v>73</v>
      </c>
      <c r="AD166" t="s">
        <v>72</v>
      </c>
      <c r="AE166" t="s">
        <v>72</v>
      </c>
      <c r="AF166" t="s">
        <v>72</v>
      </c>
      <c r="AG166">
        <v>0</v>
      </c>
      <c r="AH166">
        <v>0</v>
      </c>
      <c r="AK166" t="s">
        <v>73</v>
      </c>
      <c r="AL166" t="s">
        <v>72</v>
      </c>
      <c r="AM166" t="s">
        <v>72</v>
      </c>
      <c r="AN166" t="s">
        <v>72</v>
      </c>
      <c r="AO166">
        <v>0</v>
      </c>
      <c r="AP166">
        <v>0</v>
      </c>
      <c r="AS166" t="s">
        <v>73</v>
      </c>
      <c r="AT166" t="s">
        <v>72</v>
      </c>
      <c r="AU166" t="s">
        <v>72</v>
      </c>
      <c r="AV166" t="s">
        <v>72</v>
      </c>
      <c r="AY166">
        <v>0</v>
      </c>
    </row>
    <row r="167" spans="1:51" x14ac:dyDescent="0.2">
      <c r="A167" t="s">
        <v>809</v>
      </c>
      <c r="B167" t="s">
        <v>54</v>
      </c>
      <c r="C167" t="s">
        <v>55</v>
      </c>
      <c r="D167" t="s">
        <v>56</v>
      </c>
      <c r="E167" t="s">
        <v>57</v>
      </c>
      <c r="F167" t="s">
        <v>58</v>
      </c>
      <c r="G167" t="s">
        <v>174</v>
      </c>
      <c r="H167" t="s">
        <v>175</v>
      </c>
      <c r="I167" t="s">
        <v>810</v>
      </c>
      <c r="J167" t="s">
        <v>178</v>
      </c>
      <c r="K167" t="s">
        <v>72</v>
      </c>
      <c r="O167" t="s">
        <v>178</v>
      </c>
      <c r="Q167">
        <v>0</v>
      </c>
      <c r="R167">
        <v>0</v>
      </c>
      <c r="U167" t="s">
        <v>73</v>
      </c>
      <c r="V167" t="s">
        <v>72</v>
      </c>
      <c r="W167" t="s">
        <v>72</v>
      </c>
      <c r="X167" t="s">
        <v>72</v>
      </c>
      <c r="Y167">
        <v>0</v>
      </c>
      <c r="Z167">
        <v>0</v>
      </c>
      <c r="AC167" t="s">
        <v>73</v>
      </c>
      <c r="AD167" t="s">
        <v>72</v>
      </c>
      <c r="AE167" t="s">
        <v>72</v>
      </c>
      <c r="AF167" t="s">
        <v>72</v>
      </c>
      <c r="AG167">
        <v>0</v>
      </c>
      <c r="AH167">
        <v>0</v>
      </c>
      <c r="AK167" t="s">
        <v>73</v>
      </c>
      <c r="AL167" t="s">
        <v>72</v>
      </c>
      <c r="AM167" t="s">
        <v>72</v>
      </c>
      <c r="AN167" t="s">
        <v>72</v>
      </c>
      <c r="AO167">
        <v>0</v>
      </c>
      <c r="AP167">
        <v>0</v>
      </c>
      <c r="AS167" t="s">
        <v>73</v>
      </c>
      <c r="AT167" t="s">
        <v>72</v>
      </c>
      <c r="AU167" t="s">
        <v>72</v>
      </c>
      <c r="AV167" t="s">
        <v>72</v>
      </c>
      <c r="AY167">
        <v>0</v>
      </c>
    </row>
    <row r="168" spans="1:51" x14ac:dyDescent="0.2">
      <c r="A168" t="s">
        <v>811</v>
      </c>
      <c r="B168" t="s">
        <v>54</v>
      </c>
      <c r="C168" t="s">
        <v>55</v>
      </c>
      <c r="D168" t="s">
        <v>56</v>
      </c>
      <c r="E168" t="s">
        <v>57</v>
      </c>
      <c r="F168" t="s">
        <v>58</v>
      </c>
      <c r="G168" t="s">
        <v>174</v>
      </c>
      <c r="H168" t="s">
        <v>175</v>
      </c>
      <c r="I168" t="s">
        <v>812</v>
      </c>
      <c r="J168" t="s">
        <v>178</v>
      </c>
      <c r="K168" t="s">
        <v>72</v>
      </c>
      <c r="O168" t="s">
        <v>178</v>
      </c>
      <c r="Q168">
        <v>0</v>
      </c>
      <c r="R168">
        <v>0</v>
      </c>
      <c r="U168" t="s">
        <v>73</v>
      </c>
      <c r="V168" t="s">
        <v>72</v>
      </c>
      <c r="W168" t="s">
        <v>72</v>
      </c>
      <c r="X168" t="s">
        <v>72</v>
      </c>
      <c r="Y168">
        <v>0</v>
      </c>
      <c r="Z168">
        <v>0</v>
      </c>
      <c r="AC168" t="s">
        <v>73</v>
      </c>
      <c r="AD168" t="s">
        <v>72</v>
      </c>
      <c r="AE168" t="s">
        <v>72</v>
      </c>
      <c r="AF168" t="s">
        <v>72</v>
      </c>
      <c r="AG168">
        <v>0</v>
      </c>
      <c r="AH168">
        <v>0</v>
      </c>
      <c r="AK168" t="s">
        <v>73</v>
      </c>
      <c r="AL168" t="s">
        <v>72</v>
      </c>
      <c r="AM168" t="s">
        <v>72</v>
      </c>
      <c r="AN168" t="s">
        <v>72</v>
      </c>
      <c r="AO168">
        <v>0</v>
      </c>
      <c r="AP168">
        <v>0</v>
      </c>
      <c r="AS168" t="s">
        <v>73</v>
      </c>
      <c r="AT168" t="s">
        <v>72</v>
      </c>
      <c r="AU168" t="s">
        <v>72</v>
      </c>
      <c r="AV168" t="s">
        <v>72</v>
      </c>
      <c r="AY168">
        <v>0</v>
      </c>
    </row>
    <row r="169" spans="1:51" x14ac:dyDescent="0.2">
      <c r="A169" t="s">
        <v>813</v>
      </c>
      <c r="B169" t="s">
        <v>54</v>
      </c>
      <c r="C169" t="s">
        <v>55</v>
      </c>
      <c r="D169" t="s">
        <v>56</v>
      </c>
      <c r="E169" t="s">
        <v>57</v>
      </c>
      <c r="F169" t="s">
        <v>58</v>
      </c>
      <c r="G169" t="s">
        <v>165</v>
      </c>
      <c r="H169" t="s">
        <v>166</v>
      </c>
      <c r="I169" t="s">
        <v>814</v>
      </c>
      <c r="J169" t="s">
        <v>169</v>
      </c>
      <c r="K169" t="s">
        <v>72</v>
      </c>
      <c r="O169" t="s">
        <v>169</v>
      </c>
      <c r="Q169">
        <v>0</v>
      </c>
      <c r="R169">
        <v>0</v>
      </c>
      <c r="U169" t="s">
        <v>73</v>
      </c>
      <c r="V169" t="s">
        <v>72</v>
      </c>
      <c r="W169" t="s">
        <v>72</v>
      </c>
      <c r="X169" t="s">
        <v>72</v>
      </c>
      <c r="Y169">
        <v>0</v>
      </c>
      <c r="Z169">
        <v>0</v>
      </c>
      <c r="AC169" t="s">
        <v>73</v>
      </c>
      <c r="AD169" t="s">
        <v>72</v>
      </c>
      <c r="AE169" t="s">
        <v>72</v>
      </c>
      <c r="AF169" t="s">
        <v>72</v>
      </c>
      <c r="AG169">
        <v>0</v>
      </c>
      <c r="AH169">
        <v>0</v>
      </c>
      <c r="AK169" t="s">
        <v>73</v>
      </c>
      <c r="AL169" t="s">
        <v>72</v>
      </c>
      <c r="AM169" t="s">
        <v>72</v>
      </c>
      <c r="AN169" t="s">
        <v>72</v>
      </c>
      <c r="AO169">
        <v>0</v>
      </c>
      <c r="AP169">
        <v>0</v>
      </c>
      <c r="AS169" t="s">
        <v>73</v>
      </c>
      <c r="AT169" t="s">
        <v>72</v>
      </c>
      <c r="AU169" t="s">
        <v>72</v>
      </c>
      <c r="AV169" t="s">
        <v>72</v>
      </c>
      <c r="AY169">
        <v>0</v>
      </c>
    </row>
    <row r="170" spans="1:51" x14ac:dyDescent="0.2">
      <c r="A170" t="s">
        <v>815</v>
      </c>
      <c r="B170" t="s">
        <v>54</v>
      </c>
      <c r="C170" t="s">
        <v>55</v>
      </c>
      <c r="D170" t="s">
        <v>56</v>
      </c>
      <c r="E170" t="s">
        <v>57</v>
      </c>
      <c r="F170" t="s">
        <v>58</v>
      </c>
      <c r="G170" t="s">
        <v>165</v>
      </c>
      <c r="H170" t="s">
        <v>166</v>
      </c>
      <c r="I170" t="s">
        <v>816</v>
      </c>
      <c r="J170" t="s">
        <v>169</v>
      </c>
      <c r="K170" t="s">
        <v>72</v>
      </c>
      <c r="O170" t="s">
        <v>169</v>
      </c>
      <c r="Q170">
        <v>0</v>
      </c>
      <c r="R170">
        <v>0</v>
      </c>
      <c r="U170" t="s">
        <v>73</v>
      </c>
      <c r="V170" t="s">
        <v>72</v>
      </c>
      <c r="W170" t="s">
        <v>72</v>
      </c>
      <c r="X170" t="s">
        <v>72</v>
      </c>
      <c r="Y170">
        <v>0</v>
      </c>
      <c r="Z170">
        <v>0</v>
      </c>
      <c r="AC170" t="s">
        <v>73</v>
      </c>
      <c r="AD170" t="s">
        <v>72</v>
      </c>
      <c r="AE170" t="s">
        <v>72</v>
      </c>
      <c r="AF170" t="s">
        <v>72</v>
      </c>
      <c r="AG170">
        <v>0</v>
      </c>
      <c r="AH170">
        <v>0</v>
      </c>
      <c r="AK170" t="s">
        <v>73</v>
      </c>
      <c r="AL170" t="s">
        <v>72</v>
      </c>
      <c r="AM170" t="s">
        <v>72</v>
      </c>
      <c r="AN170" t="s">
        <v>72</v>
      </c>
      <c r="AO170">
        <v>0</v>
      </c>
      <c r="AP170">
        <v>0</v>
      </c>
      <c r="AS170" t="s">
        <v>73</v>
      </c>
      <c r="AT170" t="s">
        <v>72</v>
      </c>
      <c r="AU170" t="s">
        <v>72</v>
      </c>
      <c r="AV170" t="s">
        <v>72</v>
      </c>
      <c r="AY170">
        <v>0</v>
      </c>
    </row>
    <row r="171" spans="1:51" x14ac:dyDescent="0.2">
      <c r="A171" t="s">
        <v>817</v>
      </c>
      <c r="B171" t="s">
        <v>54</v>
      </c>
      <c r="C171" t="s">
        <v>55</v>
      </c>
      <c r="D171" t="s">
        <v>56</v>
      </c>
      <c r="E171" t="s">
        <v>57</v>
      </c>
      <c r="F171" t="s">
        <v>58</v>
      </c>
      <c r="G171" t="s">
        <v>165</v>
      </c>
      <c r="H171" t="s">
        <v>166</v>
      </c>
      <c r="I171" t="s">
        <v>818</v>
      </c>
      <c r="J171" t="s">
        <v>169</v>
      </c>
      <c r="K171" t="s">
        <v>72</v>
      </c>
      <c r="O171" t="s">
        <v>169</v>
      </c>
      <c r="Q171">
        <v>0</v>
      </c>
      <c r="R171">
        <v>0</v>
      </c>
      <c r="U171" t="s">
        <v>73</v>
      </c>
      <c r="V171" t="s">
        <v>72</v>
      </c>
      <c r="W171" t="s">
        <v>72</v>
      </c>
      <c r="X171" t="s">
        <v>72</v>
      </c>
      <c r="Y171">
        <v>0</v>
      </c>
      <c r="Z171">
        <v>0</v>
      </c>
      <c r="AC171" t="s">
        <v>73</v>
      </c>
      <c r="AD171" t="s">
        <v>72</v>
      </c>
      <c r="AE171" t="s">
        <v>72</v>
      </c>
      <c r="AF171" t="s">
        <v>72</v>
      </c>
      <c r="AG171">
        <v>0</v>
      </c>
      <c r="AH171">
        <v>0</v>
      </c>
      <c r="AK171" t="s">
        <v>73</v>
      </c>
      <c r="AL171" t="s">
        <v>72</v>
      </c>
      <c r="AM171" t="s">
        <v>72</v>
      </c>
      <c r="AN171" t="s">
        <v>72</v>
      </c>
      <c r="AO171">
        <v>0</v>
      </c>
      <c r="AP171">
        <v>0</v>
      </c>
      <c r="AS171" t="s">
        <v>73</v>
      </c>
      <c r="AT171" t="s">
        <v>72</v>
      </c>
      <c r="AU171" t="s">
        <v>72</v>
      </c>
      <c r="AV171" t="s">
        <v>72</v>
      </c>
      <c r="AY171">
        <v>0</v>
      </c>
    </row>
    <row r="172" spans="1:51" x14ac:dyDescent="0.2">
      <c r="A172" t="s">
        <v>819</v>
      </c>
      <c r="B172" t="s">
        <v>54</v>
      </c>
      <c r="C172" t="s">
        <v>55</v>
      </c>
      <c r="D172" t="s">
        <v>56</v>
      </c>
      <c r="E172" t="s">
        <v>57</v>
      </c>
      <c r="F172" t="s">
        <v>58</v>
      </c>
      <c r="G172" t="s">
        <v>165</v>
      </c>
      <c r="H172" t="s">
        <v>166</v>
      </c>
      <c r="I172" t="s">
        <v>820</v>
      </c>
      <c r="J172" t="s">
        <v>169</v>
      </c>
      <c r="K172" t="s">
        <v>72</v>
      </c>
      <c r="O172" t="s">
        <v>169</v>
      </c>
      <c r="Q172">
        <v>0</v>
      </c>
      <c r="R172">
        <v>0</v>
      </c>
      <c r="U172" t="s">
        <v>73</v>
      </c>
      <c r="V172" t="s">
        <v>72</v>
      </c>
      <c r="W172" t="s">
        <v>72</v>
      </c>
      <c r="X172" t="s">
        <v>72</v>
      </c>
      <c r="Y172">
        <v>0</v>
      </c>
      <c r="Z172">
        <v>0</v>
      </c>
      <c r="AC172" t="s">
        <v>73</v>
      </c>
      <c r="AD172" t="s">
        <v>72</v>
      </c>
      <c r="AE172" t="s">
        <v>72</v>
      </c>
      <c r="AF172" t="s">
        <v>72</v>
      </c>
      <c r="AG172">
        <v>0</v>
      </c>
      <c r="AH172">
        <v>0</v>
      </c>
      <c r="AK172" t="s">
        <v>73</v>
      </c>
      <c r="AL172" t="s">
        <v>72</v>
      </c>
      <c r="AM172" t="s">
        <v>72</v>
      </c>
      <c r="AN172" t="s">
        <v>72</v>
      </c>
      <c r="AO172">
        <v>0</v>
      </c>
      <c r="AP172">
        <v>0</v>
      </c>
      <c r="AS172" t="s">
        <v>73</v>
      </c>
      <c r="AT172" t="s">
        <v>72</v>
      </c>
      <c r="AU172" t="s">
        <v>72</v>
      </c>
      <c r="AV172" t="s">
        <v>72</v>
      </c>
      <c r="AY172">
        <v>0</v>
      </c>
    </row>
    <row r="173" spans="1:51" x14ac:dyDescent="0.2">
      <c r="A173" t="s">
        <v>821</v>
      </c>
      <c r="B173" t="s">
        <v>54</v>
      </c>
      <c r="C173" t="s">
        <v>55</v>
      </c>
      <c r="D173" t="s">
        <v>56</v>
      </c>
      <c r="E173" t="s">
        <v>57</v>
      </c>
      <c r="F173" t="s">
        <v>58</v>
      </c>
      <c r="G173" t="s">
        <v>165</v>
      </c>
      <c r="H173" t="s">
        <v>166</v>
      </c>
      <c r="I173" t="s">
        <v>822</v>
      </c>
      <c r="J173" t="s">
        <v>169</v>
      </c>
      <c r="K173" t="s">
        <v>72</v>
      </c>
      <c r="O173" t="s">
        <v>169</v>
      </c>
      <c r="Q173">
        <v>0</v>
      </c>
      <c r="R173">
        <v>0</v>
      </c>
      <c r="U173" t="s">
        <v>73</v>
      </c>
      <c r="V173" t="s">
        <v>72</v>
      </c>
      <c r="W173" t="s">
        <v>72</v>
      </c>
      <c r="X173" t="s">
        <v>72</v>
      </c>
      <c r="Y173">
        <v>0</v>
      </c>
      <c r="Z173">
        <v>0</v>
      </c>
      <c r="AC173" t="s">
        <v>73</v>
      </c>
      <c r="AD173" t="s">
        <v>72</v>
      </c>
      <c r="AE173" t="s">
        <v>72</v>
      </c>
      <c r="AF173" t="s">
        <v>72</v>
      </c>
      <c r="AG173">
        <v>0</v>
      </c>
      <c r="AH173">
        <v>0</v>
      </c>
      <c r="AK173" t="s">
        <v>73</v>
      </c>
      <c r="AL173" t="s">
        <v>72</v>
      </c>
      <c r="AM173" t="s">
        <v>72</v>
      </c>
      <c r="AN173" t="s">
        <v>72</v>
      </c>
      <c r="AO173">
        <v>0</v>
      </c>
      <c r="AP173">
        <v>0</v>
      </c>
      <c r="AS173" t="s">
        <v>73</v>
      </c>
      <c r="AT173" t="s">
        <v>72</v>
      </c>
      <c r="AU173" t="s">
        <v>72</v>
      </c>
      <c r="AV173" t="s">
        <v>72</v>
      </c>
      <c r="AY173">
        <v>0</v>
      </c>
    </row>
    <row r="174" spans="1:51" x14ac:dyDescent="0.2">
      <c r="A174" t="s">
        <v>823</v>
      </c>
      <c r="B174" t="s">
        <v>54</v>
      </c>
      <c r="C174" t="s">
        <v>55</v>
      </c>
      <c r="D174" t="s">
        <v>56</v>
      </c>
      <c r="E174" t="s">
        <v>57</v>
      </c>
      <c r="F174" t="s">
        <v>58</v>
      </c>
      <c r="G174" t="s">
        <v>165</v>
      </c>
      <c r="H174" t="s">
        <v>166</v>
      </c>
      <c r="I174" t="s">
        <v>824</v>
      </c>
      <c r="J174" t="s">
        <v>169</v>
      </c>
      <c r="K174" t="s">
        <v>72</v>
      </c>
      <c r="O174" t="s">
        <v>169</v>
      </c>
      <c r="Q174">
        <v>0</v>
      </c>
      <c r="R174">
        <v>0</v>
      </c>
      <c r="U174" t="s">
        <v>73</v>
      </c>
      <c r="V174" t="s">
        <v>72</v>
      </c>
      <c r="W174" t="s">
        <v>72</v>
      </c>
      <c r="X174" t="s">
        <v>72</v>
      </c>
      <c r="Y174">
        <v>0</v>
      </c>
      <c r="Z174">
        <v>0</v>
      </c>
      <c r="AC174" t="s">
        <v>73</v>
      </c>
      <c r="AD174" t="s">
        <v>72</v>
      </c>
      <c r="AE174" t="s">
        <v>72</v>
      </c>
      <c r="AF174" t="s">
        <v>72</v>
      </c>
      <c r="AG174">
        <v>0</v>
      </c>
      <c r="AH174">
        <v>0</v>
      </c>
      <c r="AK174" t="s">
        <v>73</v>
      </c>
      <c r="AL174" t="s">
        <v>72</v>
      </c>
      <c r="AM174" t="s">
        <v>72</v>
      </c>
      <c r="AN174" t="s">
        <v>72</v>
      </c>
      <c r="AO174">
        <v>0</v>
      </c>
      <c r="AP174">
        <v>0</v>
      </c>
      <c r="AS174" t="s">
        <v>73</v>
      </c>
      <c r="AT174" t="s">
        <v>72</v>
      </c>
      <c r="AU174" t="s">
        <v>72</v>
      </c>
      <c r="AV174" t="s">
        <v>72</v>
      </c>
      <c r="AY174">
        <v>0</v>
      </c>
    </row>
    <row r="175" spans="1:51" x14ac:dyDescent="0.2">
      <c r="A175" t="s">
        <v>825</v>
      </c>
      <c r="B175" t="s">
        <v>183</v>
      </c>
      <c r="C175" t="s">
        <v>184</v>
      </c>
      <c r="D175" t="s">
        <v>390</v>
      </c>
      <c r="E175" t="s">
        <v>391</v>
      </c>
      <c r="F175" t="s">
        <v>392</v>
      </c>
      <c r="G175" t="s">
        <v>826</v>
      </c>
      <c r="H175" t="s">
        <v>827</v>
      </c>
      <c r="I175" t="s">
        <v>828</v>
      </c>
      <c r="J175" t="s">
        <v>829</v>
      </c>
      <c r="K175" t="s">
        <v>72</v>
      </c>
      <c r="O175" t="s">
        <v>829</v>
      </c>
      <c r="Q175">
        <v>0</v>
      </c>
      <c r="R175">
        <v>0</v>
      </c>
      <c r="U175" t="s">
        <v>73</v>
      </c>
      <c r="V175" t="s">
        <v>72</v>
      </c>
      <c r="W175" t="s">
        <v>72</v>
      </c>
      <c r="X175" t="s">
        <v>72</v>
      </c>
      <c r="Y175">
        <v>0</v>
      </c>
      <c r="Z175">
        <v>0</v>
      </c>
      <c r="AC175" t="s">
        <v>73</v>
      </c>
      <c r="AD175" t="s">
        <v>72</v>
      </c>
      <c r="AE175" t="s">
        <v>72</v>
      </c>
      <c r="AF175" t="s">
        <v>72</v>
      </c>
      <c r="AG175">
        <v>0</v>
      </c>
      <c r="AH175">
        <v>0</v>
      </c>
      <c r="AK175" t="s">
        <v>73</v>
      </c>
      <c r="AL175" t="s">
        <v>72</v>
      </c>
      <c r="AM175" t="s">
        <v>72</v>
      </c>
      <c r="AN175" t="s">
        <v>72</v>
      </c>
      <c r="AO175">
        <v>0</v>
      </c>
      <c r="AP175">
        <v>0</v>
      </c>
      <c r="AS175" t="s">
        <v>73</v>
      </c>
      <c r="AT175" t="s">
        <v>72</v>
      </c>
      <c r="AU175" t="s">
        <v>72</v>
      </c>
      <c r="AV175" t="s">
        <v>72</v>
      </c>
      <c r="AY175">
        <v>0</v>
      </c>
    </row>
    <row r="176" spans="1:51" x14ac:dyDescent="0.2">
      <c r="A176" t="s">
        <v>830</v>
      </c>
      <c r="B176" t="s">
        <v>183</v>
      </c>
      <c r="C176" t="s">
        <v>184</v>
      </c>
      <c r="D176" t="s">
        <v>390</v>
      </c>
      <c r="E176" t="s">
        <v>391</v>
      </c>
      <c r="F176" t="s">
        <v>392</v>
      </c>
      <c r="G176" t="s">
        <v>826</v>
      </c>
      <c r="H176" t="s">
        <v>827</v>
      </c>
      <c r="I176" t="s">
        <v>831</v>
      </c>
      <c r="J176" t="s">
        <v>829</v>
      </c>
      <c r="K176" t="s">
        <v>72</v>
      </c>
      <c r="O176" t="s">
        <v>829</v>
      </c>
      <c r="Q176">
        <v>0</v>
      </c>
      <c r="R176">
        <v>0</v>
      </c>
      <c r="U176" t="s">
        <v>73</v>
      </c>
      <c r="V176" t="s">
        <v>72</v>
      </c>
      <c r="W176" t="s">
        <v>72</v>
      </c>
      <c r="X176" t="s">
        <v>72</v>
      </c>
      <c r="Y176">
        <v>0</v>
      </c>
      <c r="Z176">
        <v>0</v>
      </c>
      <c r="AC176" t="s">
        <v>73</v>
      </c>
      <c r="AD176" t="s">
        <v>72</v>
      </c>
      <c r="AE176" t="s">
        <v>72</v>
      </c>
      <c r="AF176" t="s">
        <v>72</v>
      </c>
      <c r="AG176">
        <v>0</v>
      </c>
      <c r="AH176">
        <v>0</v>
      </c>
      <c r="AK176" t="s">
        <v>73</v>
      </c>
      <c r="AL176" t="s">
        <v>72</v>
      </c>
      <c r="AM176" t="s">
        <v>72</v>
      </c>
      <c r="AN176" t="s">
        <v>72</v>
      </c>
      <c r="AO176">
        <v>0</v>
      </c>
      <c r="AP176">
        <v>0</v>
      </c>
      <c r="AS176" t="s">
        <v>73</v>
      </c>
      <c r="AT176" t="s">
        <v>72</v>
      </c>
      <c r="AU176" t="s">
        <v>72</v>
      </c>
      <c r="AV176" t="s">
        <v>72</v>
      </c>
      <c r="AY176">
        <v>0</v>
      </c>
    </row>
    <row r="177" spans="1:51" x14ac:dyDescent="0.2">
      <c r="A177" t="s">
        <v>832</v>
      </c>
      <c r="B177" t="s">
        <v>183</v>
      </c>
      <c r="C177" t="s">
        <v>184</v>
      </c>
      <c r="D177" t="s">
        <v>390</v>
      </c>
      <c r="E177" t="s">
        <v>391</v>
      </c>
      <c r="F177" t="s">
        <v>392</v>
      </c>
      <c r="G177" t="s">
        <v>393</v>
      </c>
      <c r="H177" t="s">
        <v>394</v>
      </c>
      <c r="I177" t="s">
        <v>833</v>
      </c>
      <c r="J177" t="s">
        <v>397</v>
      </c>
      <c r="K177" t="s">
        <v>72</v>
      </c>
      <c r="O177" t="s">
        <v>397</v>
      </c>
      <c r="Q177">
        <v>0</v>
      </c>
      <c r="R177">
        <v>0</v>
      </c>
      <c r="U177" t="s">
        <v>73</v>
      </c>
      <c r="V177" t="s">
        <v>72</v>
      </c>
      <c r="W177" t="s">
        <v>72</v>
      </c>
      <c r="X177" t="s">
        <v>72</v>
      </c>
      <c r="Y177">
        <v>0</v>
      </c>
      <c r="Z177">
        <v>0</v>
      </c>
      <c r="AC177" t="s">
        <v>73</v>
      </c>
      <c r="AD177" t="s">
        <v>72</v>
      </c>
      <c r="AE177" t="s">
        <v>72</v>
      </c>
      <c r="AF177" t="s">
        <v>72</v>
      </c>
      <c r="AG177">
        <v>0</v>
      </c>
      <c r="AH177">
        <v>0</v>
      </c>
      <c r="AK177" t="s">
        <v>73</v>
      </c>
      <c r="AL177" t="s">
        <v>72</v>
      </c>
      <c r="AM177" t="s">
        <v>72</v>
      </c>
      <c r="AN177" t="s">
        <v>72</v>
      </c>
      <c r="AO177">
        <v>0</v>
      </c>
      <c r="AP177">
        <v>0</v>
      </c>
      <c r="AS177" t="s">
        <v>73</v>
      </c>
      <c r="AT177" t="s">
        <v>72</v>
      </c>
      <c r="AU177" t="s">
        <v>72</v>
      </c>
      <c r="AV177" t="s">
        <v>72</v>
      </c>
      <c r="AY177">
        <v>0</v>
      </c>
    </row>
    <row r="178" spans="1:51" x14ac:dyDescent="0.2">
      <c r="A178" t="s">
        <v>834</v>
      </c>
      <c r="B178" t="s">
        <v>183</v>
      </c>
      <c r="C178" t="s">
        <v>184</v>
      </c>
      <c r="D178" t="s">
        <v>390</v>
      </c>
      <c r="E178" t="s">
        <v>391</v>
      </c>
      <c r="F178" t="s">
        <v>392</v>
      </c>
      <c r="G178" t="s">
        <v>393</v>
      </c>
      <c r="H178" t="s">
        <v>394</v>
      </c>
      <c r="I178" t="s">
        <v>835</v>
      </c>
      <c r="J178" t="s">
        <v>397</v>
      </c>
      <c r="K178" t="s">
        <v>72</v>
      </c>
      <c r="O178" t="s">
        <v>397</v>
      </c>
      <c r="Q178">
        <v>0</v>
      </c>
      <c r="R178">
        <v>0</v>
      </c>
      <c r="U178" t="s">
        <v>73</v>
      </c>
      <c r="V178" t="s">
        <v>72</v>
      </c>
      <c r="W178" t="s">
        <v>72</v>
      </c>
      <c r="X178" t="s">
        <v>72</v>
      </c>
      <c r="Y178">
        <v>0</v>
      </c>
      <c r="Z178">
        <v>0</v>
      </c>
      <c r="AC178" t="s">
        <v>73</v>
      </c>
      <c r="AD178" t="s">
        <v>72</v>
      </c>
      <c r="AE178" t="s">
        <v>72</v>
      </c>
      <c r="AF178" t="s">
        <v>72</v>
      </c>
      <c r="AG178">
        <v>0</v>
      </c>
      <c r="AH178">
        <v>0</v>
      </c>
      <c r="AK178" t="s">
        <v>73</v>
      </c>
      <c r="AL178" t="s">
        <v>72</v>
      </c>
      <c r="AM178" t="s">
        <v>72</v>
      </c>
      <c r="AN178" t="s">
        <v>72</v>
      </c>
      <c r="AO178">
        <v>0</v>
      </c>
      <c r="AP178">
        <v>0</v>
      </c>
      <c r="AS178" t="s">
        <v>73</v>
      </c>
      <c r="AT178" t="s">
        <v>72</v>
      </c>
      <c r="AU178" t="s">
        <v>72</v>
      </c>
      <c r="AV178" t="s">
        <v>72</v>
      </c>
      <c r="AY178">
        <v>0</v>
      </c>
    </row>
    <row r="179" spans="1:51" x14ac:dyDescent="0.2">
      <c r="A179" t="s">
        <v>836</v>
      </c>
      <c r="B179" t="s">
        <v>183</v>
      </c>
      <c r="C179" t="s">
        <v>184</v>
      </c>
      <c r="D179" t="s">
        <v>390</v>
      </c>
      <c r="E179" t="s">
        <v>391</v>
      </c>
      <c r="F179" t="s">
        <v>392</v>
      </c>
      <c r="G179" t="s">
        <v>837</v>
      </c>
      <c r="H179" t="s">
        <v>838</v>
      </c>
      <c r="I179" t="s">
        <v>839</v>
      </c>
      <c r="J179" t="s">
        <v>840</v>
      </c>
      <c r="K179" t="s">
        <v>72</v>
      </c>
      <c r="O179" t="s">
        <v>840</v>
      </c>
      <c r="Q179">
        <v>0</v>
      </c>
      <c r="R179">
        <v>0</v>
      </c>
      <c r="U179" t="s">
        <v>73</v>
      </c>
      <c r="V179" t="s">
        <v>72</v>
      </c>
      <c r="W179" t="s">
        <v>72</v>
      </c>
      <c r="X179" t="s">
        <v>72</v>
      </c>
      <c r="Y179">
        <v>0</v>
      </c>
      <c r="Z179">
        <v>0</v>
      </c>
      <c r="AC179" t="s">
        <v>73</v>
      </c>
      <c r="AD179" t="s">
        <v>72</v>
      </c>
      <c r="AE179" t="s">
        <v>72</v>
      </c>
      <c r="AF179" t="s">
        <v>72</v>
      </c>
      <c r="AG179">
        <v>0</v>
      </c>
      <c r="AH179">
        <v>0</v>
      </c>
      <c r="AK179" t="s">
        <v>73</v>
      </c>
      <c r="AL179" t="s">
        <v>72</v>
      </c>
      <c r="AM179" t="s">
        <v>72</v>
      </c>
      <c r="AN179" t="s">
        <v>72</v>
      </c>
      <c r="AO179">
        <v>0</v>
      </c>
      <c r="AP179">
        <v>0</v>
      </c>
      <c r="AS179" t="s">
        <v>73</v>
      </c>
      <c r="AT179" t="s">
        <v>72</v>
      </c>
      <c r="AU179" t="s">
        <v>72</v>
      </c>
      <c r="AV179" t="s">
        <v>72</v>
      </c>
      <c r="AY179">
        <v>0</v>
      </c>
    </row>
    <row r="180" spans="1:51" x14ac:dyDescent="0.2">
      <c r="A180" t="s">
        <v>841</v>
      </c>
      <c r="B180" t="s">
        <v>183</v>
      </c>
      <c r="C180" t="s">
        <v>184</v>
      </c>
      <c r="D180" t="s">
        <v>390</v>
      </c>
      <c r="E180" t="s">
        <v>391</v>
      </c>
      <c r="F180" t="s">
        <v>392</v>
      </c>
      <c r="G180" t="s">
        <v>837</v>
      </c>
      <c r="H180" t="s">
        <v>838</v>
      </c>
      <c r="I180" t="s">
        <v>842</v>
      </c>
      <c r="J180" t="s">
        <v>840</v>
      </c>
      <c r="K180" t="s">
        <v>72</v>
      </c>
      <c r="O180" t="s">
        <v>840</v>
      </c>
      <c r="Q180">
        <v>0</v>
      </c>
      <c r="R180">
        <v>0</v>
      </c>
      <c r="U180" t="s">
        <v>73</v>
      </c>
      <c r="V180" t="s">
        <v>72</v>
      </c>
      <c r="W180" t="s">
        <v>72</v>
      </c>
      <c r="X180" t="s">
        <v>72</v>
      </c>
      <c r="Y180">
        <v>0</v>
      </c>
      <c r="Z180">
        <v>0</v>
      </c>
      <c r="AC180" t="s">
        <v>73</v>
      </c>
      <c r="AD180" t="s">
        <v>72</v>
      </c>
      <c r="AE180" t="s">
        <v>72</v>
      </c>
      <c r="AF180" t="s">
        <v>72</v>
      </c>
      <c r="AG180">
        <v>0</v>
      </c>
      <c r="AH180">
        <v>0</v>
      </c>
      <c r="AK180" t="s">
        <v>73</v>
      </c>
      <c r="AL180" t="s">
        <v>72</v>
      </c>
      <c r="AM180" t="s">
        <v>72</v>
      </c>
      <c r="AN180" t="s">
        <v>72</v>
      </c>
      <c r="AO180">
        <v>0</v>
      </c>
      <c r="AP180">
        <v>0</v>
      </c>
      <c r="AS180" t="s">
        <v>73</v>
      </c>
      <c r="AT180" t="s">
        <v>72</v>
      </c>
      <c r="AU180" t="s">
        <v>72</v>
      </c>
      <c r="AV180" t="s">
        <v>72</v>
      </c>
      <c r="AY180">
        <v>0</v>
      </c>
    </row>
    <row r="181" spans="1:51" x14ac:dyDescent="0.2">
      <c r="A181" t="s">
        <v>843</v>
      </c>
      <c r="B181" t="s">
        <v>183</v>
      </c>
      <c r="C181" t="s">
        <v>184</v>
      </c>
      <c r="D181" t="s">
        <v>390</v>
      </c>
      <c r="E181" t="s">
        <v>391</v>
      </c>
      <c r="F181" t="s">
        <v>392</v>
      </c>
      <c r="G181" t="s">
        <v>837</v>
      </c>
      <c r="H181" t="s">
        <v>838</v>
      </c>
      <c r="I181" t="s">
        <v>844</v>
      </c>
      <c r="J181" t="s">
        <v>840</v>
      </c>
      <c r="K181" t="s">
        <v>72</v>
      </c>
      <c r="O181" t="s">
        <v>840</v>
      </c>
      <c r="Q181">
        <v>0</v>
      </c>
      <c r="R181">
        <v>0</v>
      </c>
      <c r="U181" t="s">
        <v>73</v>
      </c>
      <c r="V181" t="s">
        <v>72</v>
      </c>
      <c r="W181" t="s">
        <v>72</v>
      </c>
      <c r="X181" t="s">
        <v>72</v>
      </c>
      <c r="Y181">
        <v>0</v>
      </c>
      <c r="Z181">
        <v>0</v>
      </c>
      <c r="AC181" t="s">
        <v>73</v>
      </c>
      <c r="AD181" t="s">
        <v>72</v>
      </c>
      <c r="AE181" t="s">
        <v>72</v>
      </c>
      <c r="AF181" t="s">
        <v>72</v>
      </c>
      <c r="AG181">
        <v>0</v>
      </c>
      <c r="AH181">
        <v>0</v>
      </c>
      <c r="AK181" t="s">
        <v>73</v>
      </c>
      <c r="AL181" t="s">
        <v>72</v>
      </c>
      <c r="AM181" t="s">
        <v>72</v>
      </c>
      <c r="AN181" t="s">
        <v>72</v>
      </c>
      <c r="AO181">
        <v>0</v>
      </c>
      <c r="AP181">
        <v>0</v>
      </c>
      <c r="AS181" t="s">
        <v>73</v>
      </c>
      <c r="AT181" t="s">
        <v>72</v>
      </c>
      <c r="AU181" t="s">
        <v>72</v>
      </c>
      <c r="AV181" t="s">
        <v>72</v>
      </c>
      <c r="AY181">
        <v>0</v>
      </c>
    </row>
    <row r="182" spans="1:51" x14ac:dyDescent="0.2">
      <c r="A182" t="s">
        <v>845</v>
      </c>
      <c r="B182" t="s">
        <v>183</v>
      </c>
      <c r="C182" t="s">
        <v>184</v>
      </c>
      <c r="D182" t="s">
        <v>390</v>
      </c>
      <c r="E182" t="s">
        <v>391</v>
      </c>
      <c r="F182" t="s">
        <v>392</v>
      </c>
      <c r="G182" t="s">
        <v>837</v>
      </c>
      <c r="H182" t="s">
        <v>838</v>
      </c>
      <c r="I182" t="s">
        <v>846</v>
      </c>
      <c r="J182" t="s">
        <v>840</v>
      </c>
      <c r="K182" t="s">
        <v>72</v>
      </c>
      <c r="O182" t="s">
        <v>840</v>
      </c>
      <c r="Q182">
        <v>0</v>
      </c>
      <c r="R182">
        <v>0</v>
      </c>
      <c r="U182" t="s">
        <v>73</v>
      </c>
      <c r="V182" t="s">
        <v>72</v>
      </c>
      <c r="W182" t="s">
        <v>72</v>
      </c>
      <c r="X182" t="s">
        <v>72</v>
      </c>
      <c r="Y182">
        <v>0</v>
      </c>
      <c r="Z182">
        <v>0</v>
      </c>
      <c r="AC182" t="s">
        <v>73</v>
      </c>
      <c r="AD182" t="s">
        <v>72</v>
      </c>
      <c r="AE182" t="s">
        <v>72</v>
      </c>
      <c r="AF182" t="s">
        <v>72</v>
      </c>
      <c r="AG182">
        <v>0</v>
      </c>
      <c r="AH182">
        <v>0</v>
      </c>
      <c r="AK182" t="s">
        <v>73</v>
      </c>
      <c r="AL182" t="s">
        <v>72</v>
      </c>
      <c r="AM182" t="s">
        <v>72</v>
      </c>
      <c r="AN182" t="s">
        <v>72</v>
      </c>
      <c r="AO182">
        <v>0</v>
      </c>
      <c r="AP182">
        <v>0</v>
      </c>
      <c r="AS182" t="s">
        <v>73</v>
      </c>
      <c r="AT182" t="s">
        <v>72</v>
      </c>
      <c r="AU182" t="s">
        <v>72</v>
      </c>
      <c r="AV182" t="s">
        <v>72</v>
      </c>
      <c r="AY182">
        <v>0</v>
      </c>
    </row>
    <row r="183" spans="1:51" x14ac:dyDescent="0.2">
      <c r="A183" t="s">
        <v>847</v>
      </c>
      <c r="B183" t="s">
        <v>183</v>
      </c>
      <c r="C183" t="s">
        <v>184</v>
      </c>
      <c r="D183" t="s">
        <v>390</v>
      </c>
      <c r="E183" t="s">
        <v>391</v>
      </c>
      <c r="F183" t="s">
        <v>392</v>
      </c>
      <c r="G183" t="s">
        <v>848</v>
      </c>
      <c r="H183" t="s">
        <v>849</v>
      </c>
      <c r="I183" t="s">
        <v>850</v>
      </c>
      <c r="J183" t="s">
        <v>851</v>
      </c>
      <c r="K183" t="s">
        <v>72</v>
      </c>
      <c r="O183" t="s">
        <v>851</v>
      </c>
      <c r="Q183">
        <v>0</v>
      </c>
      <c r="R183">
        <v>0</v>
      </c>
      <c r="U183" t="s">
        <v>73</v>
      </c>
      <c r="V183" t="s">
        <v>72</v>
      </c>
      <c r="W183" t="s">
        <v>72</v>
      </c>
      <c r="X183" t="s">
        <v>72</v>
      </c>
      <c r="Y183">
        <v>0</v>
      </c>
      <c r="Z183">
        <v>0</v>
      </c>
      <c r="AC183" t="s">
        <v>73</v>
      </c>
      <c r="AD183" t="s">
        <v>72</v>
      </c>
      <c r="AE183" t="s">
        <v>72</v>
      </c>
      <c r="AF183" t="s">
        <v>72</v>
      </c>
      <c r="AG183">
        <v>0</v>
      </c>
      <c r="AH183">
        <v>0</v>
      </c>
      <c r="AK183" t="s">
        <v>73</v>
      </c>
      <c r="AL183" t="s">
        <v>72</v>
      </c>
      <c r="AM183" t="s">
        <v>72</v>
      </c>
      <c r="AN183" t="s">
        <v>72</v>
      </c>
      <c r="AO183">
        <v>0</v>
      </c>
      <c r="AP183">
        <v>0</v>
      </c>
      <c r="AS183" t="s">
        <v>73</v>
      </c>
      <c r="AT183" t="s">
        <v>72</v>
      </c>
      <c r="AU183" t="s">
        <v>72</v>
      </c>
      <c r="AV183" t="s">
        <v>72</v>
      </c>
      <c r="AY183">
        <v>0</v>
      </c>
    </row>
    <row r="184" spans="1:51" x14ac:dyDescent="0.2">
      <c r="A184" t="s">
        <v>852</v>
      </c>
      <c r="B184" t="s">
        <v>183</v>
      </c>
      <c r="C184" t="s">
        <v>184</v>
      </c>
      <c r="D184" t="s">
        <v>390</v>
      </c>
      <c r="E184" t="s">
        <v>391</v>
      </c>
      <c r="F184" t="s">
        <v>392</v>
      </c>
      <c r="G184" t="s">
        <v>848</v>
      </c>
      <c r="H184" t="s">
        <v>849</v>
      </c>
      <c r="I184" t="s">
        <v>853</v>
      </c>
      <c r="J184" t="s">
        <v>851</v>
      </c>
      <c r="K184" t="s">
        <v>72</v>
      </c>
      <c r="O184" t="s">
        <v>851</v>
      </c>
      <c r="Q184">
        <v>0</v>
      </c>
      <c r="R184">
        <v>0</v>
      </c>
      <c r="U184" t="s">
        <v>73</v>
      </c>
      <c r="V184" t="s">
        <v>72</v>
      </c>
      <c r="W184" t="s">
        <v>72</v>
      </c>
      <c r="X184" t="s">
        <v>72</v>
      </c>
      <c r="Y184">
        <v>0</v>
      </c>
      <c r="Z184">
        <v>0</v>
      </c>
      <c r="AC184" t="s">
        <v>73</v>
      </c>
      <c r="AD184" t="s">
        <v>72</v>
      </c>
      <c r="AE184" t="s">
        <v>72</v>
      </c>
      <c r="AF184" t="s">
        <v>72</v>
      </c>
      <c r="AG184">
        <v>0</v>
      </c>
      <c r="AH184">
        <v>0</v>
      </c>
      <c r="AK184" t="s">
        <v>73</v>
      </c>
      <c r="AL184" t="s">
        <v>72</v>
      </c>
      <c r="AM184" t="s">
        <v>72</v>
      </c>
      <c r="AN184" t="s">
        <v>72</v>
      </c>
      <c r="AO184">
        <v>0</v>
      </c>
      <c r="AP184">
        <v>0</v>
      </c>
      <c r="AS184" t="s">
        <v>73</v>
      </c>
      <c r="AT184" t="s">
        <v>72</v>
      </c>
      <c r="AU184" t="s">
        <v>72</v>
      </c>
      <c r="AV184" t="s">
        <v>72</v>
      </c>
      <c r="AY184">
        <v>0</v>
      </c>
    </row>
    <row r="185" spans="1:51" x14ac:dyDescent="0.2">
      <c r="A185" t="s">
        <v>854</v>
      </c>
      <c r="B185" t="s">
        <v>183</v>
      </c>
      <c r="C185" t="s">
        <v>184</v>
      </c>
      <c r="D185" t="s">
        <v>390</v>
      </c>
      <c r="E185" t="s">
        <v>391</v>
      </c>
      <c r="F185" t="s">
        <v>392</v>
      </c>
      <c r="G185" t="s">
        <v>855</v>
      </c>
      <c r="H185" t="s">
        <v>856</v>
      </c>
      <c r="I185" t="s">
        <v>857</v>
      </c>
      <c r="J185" t="s">
        <v>858</v>
      </c>
      <c r="K185" t="s">
        <v>72</v>
      </c>
      <c r="O185" t="s">
        <v>858</v>
      </c>
      <c r="Q185">
        <v>0</v>
      </c>
      <c r="R185">
        <v>0</v>
      </c>
      <c r="U185" t="s">
        <v>73</v>
      </c>
      <c r="V185" t="s">
        <v>72</v>
      </c>
      <c r="W185" t="s">
        <v>72</v>
      </c>
      <c r="X185" t="s">
        <v>72</v>
      </c>
      <c r="Y185">
        <v>0</v>
      </c>
      <c r="Z185">
        <v>0</v>
      </c>
      <c r="AC185" t="s">
        <v>73</v>
      </c>
      <c r="AD185" t="s">
        <v>72</v>
      </c>
      <c r="AE185" t="s">
        <v>72</v>
      </c>
      <c r="AF185" t="s">
        <v>72</v>
      </c>
      <c r="AG185">
        <v>0</v>
      </c>
      <c r="AH185">
        <v>0</v>
      </c>
      <c r="AK185" t="s">
        <v>73</v>
      </c>
      <c r="AL185" t="s">
        <v>72</v>
      </c>
      <c r="AM185" t="s">
        <v>72</v>
      </c>
      <c r="AN185" t="s">
        <v>72</v>
      </c>
      <c r="AO185">
        <v>0</v>
      </c>
      <c r="AP185">
        <v>0</v>
      </c>
      <c r="AS185" t="s">
        <v>73</v>
      </c>
      <c r="AT185" t="s">
        <v>72</v>
      </c>
      <c r="AU185" t="s">
        <v>72</v>
      </c>
      <c r="AV185" t="s">
        <v>72</v>
      </c>
      <c r="AY185">
        <v>0</v>
      </c>
    </row>
    <row r="186" spans="1:51" x14ac:dyDescent="0.2">
      <c r="A186" t="s">
        <v>859</v>
      </c>
      <c r="B186" t="s">
        <v>183</v>
      </c>
      <c r="C186" t="s">
        <v>184</v>
      </c>
      <c r="D186" t="s">
        <v>390</v>
      </c>
      <c r="E186" t="s">
        <v>391</v>
      </c>
      <c r="F186" t="s">
        <v>392</v>
      </c>
      <c r="G186" t="s">
        <v>855</v>
      </c>
      <c r="H186" t="s">
        <v>856</v>
      </c>
      <c r="I186" t="s">
        <v>860</v>
      </c>
      <c r="J186" t="s">
        <v>858</v>
      </c>
      <c r="K186" t="s">
        <v>72</v>
      </c>
      <c r="O186" t="s">
        <v>858</v>
      </c>
      <c r="Q186">
        <v>0</v>
      </c>
      <c r="R186">
        <v>0</v>
      </c>
      <c r="U186" t="s">
        <v>73</v>
      </c>
      <c r="V186" t="s">
        <v>72</v>
      </c>
      <c r="W186" t="s">
        <v>72</v>
      </c>
      <c r="X186" t="s">
        <v>72</v>
      </c>
      <c r="Y186">
        <v>0</v>
      </c>
      <c r="Z186">
        <v>0</v>
      </c>
      <c r="AC186" t="s">
        <v>73</v>
      </c>
      <c r="AD186" t="s">
        <v>72</v>
      </c>
      <c r="AE186" t="s">
        <v>72</v>
      </c>
      <c r="AF186" t="s">
        <v>72</v>
      </c>
      <c r="AG186">
        <v>0</v>
      </c>
      <c r="AH186">
        <v>0</v>
      </c>
      <c r="AK186" t="s">
        <v>73</v>
      </c>
      <c r="AL186" t="s">
        <v>72</v>
      </c>
      <c r="AM186" t="s">
        <v>72</v>
      </c>
      <c r="AN186" t="s">
        <v>72</v>
      </c>
      <c r="AO186">
        <v>0</v>
      </c>
      <c r="AP186">
        <v>0</v>
      </c>
      <c r="AS186" t="s">
        <v>73</v>
      </c>
      <c r="AT186" t="s">
        <v>72</v>
      </c>
      <c r="AU186" t="s">
        <v>72</v>
      </c>
      <c r="AV186" t="s">
        <v>72</v>
      </c>
      <c r="AY186">
        <v>0</v>
      </c>
    </row>
    <row r="187" spans="1:51" x14ac:dyDescent="0.2">
      <c r="A187" t="s">
        <v>861</v>
      </c>
      <c r="B187" t="s">
        <v>183</v>
      </c>
      <c r="C187" t="s">
        <v>184</v>
      </c>
      <c r="D187" t="s">
        <v>390</v>
      </c>
      <c r="E187" t="s">
        <v>391</v>
      </c>
      <c r="F187" t="s">
        <v>392</v>
      </c>
      <c r="G187" t="s">
        <v>855</v>
      </c>
      <c r="H187" t="s">
        <v>856</v>
      </c>
      <c r="I187" t="s">
        <v>862</v>
      </c>
      <c r="J187" t="s">
        <v>858</v>
      </c>
      <c r="K187" t="s">
        <v>72</v>
      </c>
      <c r="O187" t="s">
        <v>858</v>
      </c>
      <c r="Q187">
        <v>0</v>
      </c>
      <c r="R187">
        <v>0</v>
      </c>
      <c r="U187" t="s">
        <v>73</v>
      </c>
      <c r="V187" t="s">
        <v>72</v>
      </c>
      <c r="W187" t="s">
        <v>72</v>
      </c>
      <c r="X187" t="s">
        <v>72</v>
      </c>
      <c r="Y187">
        <v>0</v>
      </c>
      <c r="Z187">
        <v>0</v>
      </c>
      <c r="AC187" t="s">
        <v>73</v>
      </c>
      <c r="AD187" t="s">
        <v>72</v>
      </c>
      <c r="AE187" t="s">
        <v>72</v>
      </c>
      <c r="AF187" t="s">
        <v>72</v>
      </c>
      <c r="AG187">
        <v>0</v>
      </c>
      <c r="AH187">
        <v>0</v>
      </c>
      <c r="AK187" t="s">
        <v>73</v>
      </c>
      <c r="AL187" t="s">
        <v>72</v>
      </c>
      <c r="AM187" t="s">
        <v>72</v>
      </c>
      <c r="AN187" t="s">
        <v>72</v>
      </c>
      <c r="AO187">
        <v>0</v>
      </c>
      <c r="AP187">
        <v>0</v>
      </c>
      <c r="AS187" t="s">
        <v>73</v>
      </c>
      <c r="AT187" t="s">
        <v>72</v>
      </c>
      <c r="AU187" t="s">
        <v>72</v>
      </c>
      <c r="AV187" t="s">
        <v>72</v>
      </c>
      <c r="AY187">
        <v>0</v>
      </c>
    </row>
    <row r="188" spans="1:51" x14ac:dyDescent="0.2">
      <c r="A188" t="s">
        <v>863</v>
      </c>
      <c r="B188" t="s">
        <v>183</v>
      </c>
      <c r="C188" t="s">
        <v>184</v>
      </c>
      <c r="D188" t="s">
        <v>390</v>
      </c>
      <c r="E188" t="s">
        <v>391</v>
      </c>
      <c r="F188" t="s">
        <v>392</v>
      </c>
      <c r="G188" t="s">
        <v>403</v>
      </c>
      <c r="H188" t="s">
        <v>404</v>
      </c>
      <c r="I188" t="s">
        <v>864</v>
      </c>
      <c r="J188" t="s">
        <v>407</v>
      </c>
      <c r="K188" t="s">
        <v>72</v>
      </c>
      <c r="O188" t="s">
        <v>407</v>
      </c>
      <c r="Q188">
        <v>0</v>
      </c>
      <c r="R188">
        <v>0</v>
      </c>
      <c r="U188" t="s">
        <v>73</v>
      </c>
      <c r="V188" t="s">
        <v>72</v>
      </c>
      <c r="W188" t="s">
        <v>72</v>
      </c>
      <c r="X188" t="s">
        <v>72</v>
      </c>
      <c r="Y188">
        <v>0</v>
      </c>
      <c r="Z188">
        <v>0</v>
      </c>
      <c r="AC188" t="s">
        <v>73</v>
      </c>
      <c r="AD188" t="s">
        <v>72</v>
      </c>
      <c r="AE188" t="s">
        <v>72</v>
      </c>
      <c r="AF188" t="s">
        <v>72</v>
      </c>
      <c r="AG188">
        <v>0</v>
      </c>
      <c r="AH188">
        <v>0</v>
      </c>
      <c r="AK188" t="s">
        <v>73</v>
      </c>
      <c r="AL188" t="s">
        <v>72</v>
      </c>
      <c r="AM188" t="s">
        <v>72</v>
      </c>
      <c r="AN188" t="s">
        <v>72</v>
      </c>
      <c r="AO188">
        <v>0</v>
      </c>
      <c r="AP188">
        <v>0</v>
      </c>
      <c r="AS188" t="s">
        <v>73</v>
      </c>
      <c r="AT188" t="s">
        <v>72</v>
      </c>
      <c r="AU188" t="s">
        <v>72</v>
      </c>
      <c r="AV188" t="s">
        <v>72</v>
      </c>
      <c r="AY188">
        <v>0</v>
      </c>
    </row>
    <row r="189" spans="1:51" x14ac:dyDescent="0.2">
      <c r="A189" t="s">
        <v>865</v>
      </c>
      <c r="B189" t="s">
        <v>183</v>
      </c>
      <c r="C189" t="s">
        <v>184</v>
      </c>
      <c r="D189" t="s">
        <v>390</v>
      </c>
      <c r="E189" t="s">
        <v>391</v>
      </c>
      <c r="F189" t="s">
        <v>392</v>
      </c>
      <c r="G189" t="s">
        <v>403</v>
      </c>
      <c r="H189" t="s">
        <v>404</v>
      </c>
      <c r="I189" t="s">
        <v>866</v>
      </c>
      <c r="J189" t="s">
        <v>407</v>
      </c>
      <c r="K189" t="s">
        <v>72</v>
      </c>
      <c r="O189" t="s">
        <v>407</v>
      </c>
      <c r="Q189">
        <v>0</v>
      </c>
      <c r="R189">
        <v>0</v>
      </c>
      <c r="U189" t="s">
        <v>73</v>
      </c>
      <c r="V189" t="s">
        <v>72</v>
      </c>
      <c r="W189" t="s">
        <v>72</v>
      </c>
      <c r="X189" t="s">
        <v>72</v>
      </c>
      <c r="Y189">
        <v>0</v>
      </c>
      <c r="Z189">
        <v>0</v>
      </c>
      <c r="AC189" t="s">
        <v>73</v>
      </c>
      <c r="AD189" t="s">
        <v>72</v>
      </c>
      <c r="AE189" t="s">
        <v>72</v>
      </c>
      <c r="AF189" t="s">
        <v>72</v>
      </c>
      <c r="AG189">
        <v>0</v>
      </c>
      <c r="AH189">
        <v>0</v>
      </c>
      <c r="AK189" t="s">
        <v>73</v>
      </c>
      <c r="AL189" t="s">
        <v>72</v>
      </c>
      <c r="AM189" t="s">
        <v>72</v>
      </c>
      <c r="AN189" t="s">
        <v>72</v>
      </c>
      <c r="AO189">
        <v>0</v>
      </c>
      <c r="AP189">
        <v>0</v>
      </c>
      <c r="AS189" t="s">
        <v>73</v>
      </c>
      <c r="AT189" t="s">
        <v>72</v>
      </c>
      <c r="AU189" t="s">
        <v>72</v>
      </c>
      <c r="AV189" t="s">
        <v>72</v>
      </c>
      <c r="AY189">
        <v>0</v>
      </c>
    </row>
    <row r="190" spans="1:51" x14ac:dyDescent="0.2">
      <c r="A190" t="s">
        <v>867</v>
      </c>
      <c r="B190" t="s">
        <v>183</v>
      </c>
      <c r="C190" t="s">
        <v>184</v>
      </c>
      <c r="D190" t="s">
        <v>390</v>
      </c>
      <c r="E190" t="s">
        <v>391</v>
      </c>
      <c r="F190" t="s">
        <v>392</v>
      </c>
      <c r="G190" t="s">
        <v>403</v>
      </c>
      <c r="H190" t="s">
        <v>404</v>
      </c>
      <c r="I190" t="s">
        <v>868</v>
      </c>
      <c r="J190" t="s">
        <v>407</v>
      </c>
      <c r="K190" t="s">
        <v>72</v>
      </c>
      <c r="O190" t="s">
        <v>407</v>
      </c>
      <c r="Q190">
        <v>0</v>
      </c>
      <c r="R190">
        <v>0</v>
      </c>
      <c r="U190" t="s">
        <v>73</v>
      </c>
      <c r="V190" t="s">
        <v>72</v>
      </c>
      <c r="W190" t="s">
        <v>72</v>
      </c>
      <c r="X190" t="s">
        <v>72</v>
      </c>
      <c r="Y190">
        <v>0</v>
      </c>
      <c r="Z190">
        <v>0</v>
      </c>
      <c r="AC190" t="s">
        <v>73</v>
      </c>
      <c r="AD190" t="s">
        <v>72</v>
      </c>
      <c r="AE190" t="s">
        <v>72</v>
      </c>
      <c r="AF190" t="s">
        <v>72</v>
      </c>
      <c r="AG190">
        <v>0</v>
      </c>
      <c r="AH190">
        <v>0</v>
      </c>
      <c r="AK190" t="s">
        <v>73</v>
      </c>
      <c r="AL190" t="s">
        <v>72</v>
      </c>
      <c r="AM190" t="s">
        <v>72</v>
      </c>
      <c r="AN190" t="s">
        <v>72</v>
      </c>
      <c r="AO190">
        <v>0</v>
      </c>
      <c r="AP190">
        <v>0</v>
      </c>
      <c r="AS190" t="s">
        <v>73</v>
      </c>
      <c r="AT190" t="s">
        <v>72</v>
      </c>
      <c r="AU190" t="s">
        <v>72</v>
      </c>
      <c r="AV190" t="s">
        <v>72</v>
      </c>
      <c r="AY190">
        <v>0</v>
      </c>
    </row>
    <row r="191" spans="1:51" x14ac:dyDescent="0.2">
      <c r="A191" t="s">
        <v>869</v>
      </c>
      <c r="B191" t="s">
        <v>183</v>
      </c>
      <c r="C191" t="s">
        <v>184</v>
      </c>
      <c r="D191" t="s">
        <v>390</v>
      </c>
      <c r="E191" t="s">
        <v>391</v>
      </c>
      <c r="F191" t="s">
        <v>392</v>
      </c>
      <c r="G191" t="s">
        <v>870</v>
      </c>
      <c r="H191" t="s">
        <v>871</v>
      </c>
      <c r="I191" t="s">
        <v>872</v>
      </c>
      <c r="J191" t="s">
        <v>873</v>
      </c>
      <c r="K191" t="s">
        <v>72</v>
      </c>
      <c r="O191" t="s">
        <v>873</v>
      </c>
      <c r="Q191">
        <v>0</v>
      </c>
      <c r="R191">
        <v>0</v>
      </c>
      <c r="U191" t="s">
        <v>73</v>
      </c>
      <c r="V191" t="s">
        <v>72</v>
      </c>
      <c r="W191" t="s">
        <v>72</v>
      </c>
      <c r="X191" t="s">
        <v>72</v>
      </c>
      <c r="Y191">
        <v>0</v>
      </c>
      <c r="Z191">
        <v>0</v>
      </c>
      <c r="AC191" t="s">
        <v>73</v>
      </c>
      <c r="AD191" t="s">
        <v>72</v>
      </c>
      <c r="AE191" t="s">
        <v>72</v>
      </c>
      <c r="AF191" t="s">
        <v>72</v>
      </c>
      <c r="AG191">
        <v>0</v>
      </c>
      <c r="AH191">
        <v>0</v>
      </c>
      <c r="AK191" t="s">
        <v>73</v>
      </c>
      <c r="AL191" t="s">
        <v>72</v>
      </c>
      <c r="AM191" t="s">
        <v>72</v>
      </c>
      <c r="AN191" t="s">
        <v>72</v>
      </c>
      <c r="AO191">
        <v>0</v>
      </c>
      <c r="AP191">
        <v>0</v>
      </c>
      <c r="AS191" t="s">
        <v>73</v>
      </c>
      <c r="AT191" t="s">
        <v>72</v>
      </c>
      <c r="AU191" t="s">
        <v>72</v>
      </c>
      <c r="AV191" t="s">
        <v>72</v>
      </c>
      <c r="AY191">
        <v>0</v>
      </c>
    </row>
    <row r="192" spans="1:51" x14ac:dyDescent="0.2">
      <c r="A192" t="s">
        <v>874</v>
      </c>
      <c r="B192" t="s">
        <v>183</v>
      </c>
      <c r="C192" t="s">
        <v>184</v>
      </c>
      <c r="D192" t="s">
        <v>390</v>
      </c>
      <c r="E192" t="s">
        <v>391</v>
      </c>
      <c r="F192" t="s">
        <v>392</v>
      </c>
      <c r="G192" t="s">
        <v>870</v>
      </c>
      <c r="H192" t="s">
        <v>871</v>
      </c>
      <c r="I192" t="s">
        <v>875</v>
      </c>
      <c r="J192" t="s">
        <v>873</v>
      </c>
      <c r="K192" t="s">
        <v>72</v>
      </c>
      <c r="O192" t="s">
        <v>873</v>
      </c>
      <c r="Q192">
        <v>0</v>
      </c>
      <c r="R192">
        <v>0</v>
      </c>
      <c r="U192" t="s">
        <v>73</v>
      </c>
      <c r="V192" t="s">
        <v>72</v>
      </c>
      <c r="W192" t="s">
        <v>72</v>
      </c>
      <c r="X192" t="s">
        <v>72</v>
      </c>
      <c r="Y192">
        <v>0</v>
      </c>
      <c r="Z192">
        <v>0</v>
      </c>
      <c r="AC192" t="s">
        <v>73</v>
      </c>
      <c r="AD192" t="s">
        <v>72</v>
      </c>
      <c r="AE192" t="s">
        <v>72</v>
      </c>
      <c r="AF192" t="s">
        <v>72</v>
      </c>
      <c r="AG192">
        <v>0</v>
      </c>
      <c r="AH192">
        <v>0</v>
      </c>
      <c r="AK192" t="s">
        <v>73</v>
      </c>
      <c r="AL192" t="s">
        <v>72</v>
      </c>
      <c r="AM192" t="s">
        <v>72</v>
      </c>
      <c r="AN192" t="s">
        <v>72</v>
      </c>
      <c r="AO192">
        <v>0</v>
      </c>
      <c r="AP192">
        <v>0</v>
      </c>
      <c r="AS192" t="s">
        <v>73</v>
      </c>
      <c r="AT192" t="s">
        <v>72</v>
      </c>
      <c r="AU192" t="s">
        <v>72</v>
      </c>
      <c r="AV192" t="s">
        <v>72</v>
      </c>
      <c r="AY192">
        <v>0</v>
      </c>
    </row>
    <row r="193" spans="1:51" x14ac:dyDescent="0.2">
      <c r="A193" t="s">
        <v>876</v>
      </c>
      <c r="B193" t="s">
        <v>183</v>
      </c>
      <c r="C193" t="s">
        <v>184</v>
      </c>
      <c r="D193" t="s">
        <v>390</v>
      </c>
      <c r="E193" t="s">
        <v>391</v>
      </c>
      <c r="F193" t="s">
        <v>392</v>
      </c>
      <c r="G193" t="s">
        <v>870</v>
      </c>
      <c r="H193" t="s">
        <v>871</v>
      </c>
      <c r="I193" t="s">
        <v>877</v>
      </c>
      <c r="J193" t="s">
        <v>873</v>
      </c>
      <c r="K193" t="s">
        <v>72</v>
      </c>
      <c r="O193" t="s">
        <v>873</v>
      </c>
      <c r="Q193">
        <v>0</v>
      </c>
      <c r="R193">
        <v>0</v>
      </c>
      <c r="U193" t="s">
        <v>73</v>
      </c>
      <c r="V193" t="s">
        <v>72</v>
      </c>
      <c r="W193" t="s">
        <v>72</v>
      </c>
      <c r="X193" t="s">
        <v>72</v>
      </c>
      <c r="Y193">
        <v>0</v>
      </c>
      <c r="Z193">
        <v>0</v>
      </c>
      <c r="AC193" t="s">
        <v>73</v>
      </c>
      <c r="AD193" t="s">
        <v>72</v>
      </c>
      <c r="AE193" t="s">
        <v>72</v>
      </c>
      <c r="AF193" t="s">
        <v>72</v>
      </c>
      <c r="AG193">
        <v>0</v>
      </c>
      <c r="AH193">
        <v>0</v>
      </c>
      <c r="AK193" t="s">
        <v>73</v>
      </c>
      <c r="AL193" t="s">
        <v>72</v>
      </c>
      <c r="AM193" t="s">
        <v>72</v>
      </c>
      <c r="AN193" t="s">
        <v>72</v>
      </c>
      <c r="AO193">
        <v>0</v>
      </c>
      <c r="AP193">
        <v>0</v>
      </c>
      <c r="AS193" t="s">
        <v>73</v>
      </c>
      <c r="AT193" t="s">
        <v>72</v>
      </c>
      <c r="AU193" t="s">
        <v>72</v>
      </c>
      <c r="AV193" t="s">
        <v>72</v>
      </c>
      <c r="AY193">
        <v>0</v>
      </c>
    </row>
    <row r="194" spans="1:51" x14ac:dyDescent="0.2">
      <c r="A194" t="s">
        <v>878</v>
      </c>
      <c r="B194" t="s">
        <v>183</v>
      </c>
      <c r="C194" t="s">
        <v>184</v>
      </c>
      <c r="D194" t="s">
        <v>390</v>
      </c>
      <c r="E194" t="s">
        <v>391</v>
      </c>
      <c r="F194" t="s">
        <v>392</v>
      </c>
      <c r="G194" t="s">
        <v>870</v>
      </c>
      <c r="H194" t="s">
        <v>871</v>
      </c>
      <c r="I194" t="s">
        <v>879</v>
      </c>
      <c r="J194" t="s">
        <v>873</v>
      </c>
      <c r="K194" t="s">
        <v>72</v>
      </c>
      <c r="O194" t="s">
        <v>873</v>
      </c>
      <c r="Q194">
        <v>0</v>
      </c>
      <c r="R194">
        <v>0</v>
      </c>
      <c r="U194" t="s">
        <v>73</v>
      </c>
      <c r="V194" t="s">
        <v>72</v>
      </c>
      <c r="W194" t="s">
        <v>72</v>
      </c>
      <c r="X194" t="s">
        <v>72</v>
      </c>
      <c r="Y194">
        <v>0</v>
      </c>
      <c r="Z194">
        <v>0</v>
      </c>
      <c r="AC194" t="s">
        <v>73</v>
      </c>
      <c r="AD194" t="s">
        <v>72</v>
      </c>
      <c r="AE194" t="s">
        <v>72</v>
      </c>
      <c r="AF194" t="s">
        <v>72</v>
      </c>
      <c r="AG194">
        <v>0</v>
      </c>
      <c r="AH194">
        <v>0</v>
      </c>
      <c r="AK194" t="s">
        <v>73</v>
      </c>
      <c r="AL194" t="s">
        <v>72</v>
      </c>
      <c r="AM194" t="s">
        <v>72</v>
      </c>
      <c r="AN194" t="s">
        <v>72</v>
      </c>
      <c r="AO194">
        <v>0</v>
      </c>
      <c r="AP194">
        <v>0</v>
      </c>
      <c r="AS194" t="s">
        <v>73</v>
      </c>
      <c r="AT194" t="s">
        <v>72</v>
      </c>
      <c r="AU194" t="s">
        <v>72</v>
      </c>
      <c r="AV194" t="s">
        <v>72</v>
      </c>
      <c r="AY194">
        <v>0</v>
      </c>
    </row>
    <row r="195" spans="1:51" x14ac:dyDescent="0.2">
      <c r="A195" t="s">
        <v>880</v>
      </c>
      <c r="B195" t="s">
        <v>183</v>
      </c>
      <c r="C195" t="s">
        <v>184</v>
      </c>
      <c r="D195" t="s">
        <v>390</v>
      </c>
      <c r="E195" t="s">
        <v>391</v>
      </c>
      <c r="F195" t="s">
        <v>392</v>
      </c>
      <c r="G195" t="s">
        <v>870</v>
      </c>
      <c r="H195" t="s">
        <v>871</v>
      </c>
      <c r="I195" t="s">
        <v>881</v>
      </c>
      <c r="J195" t="s">
        <v>873</v>
      </c>
      <c r="K195" t="s">
        <v>72</v>
      </c>
      <c r="O195" t="s">
        <v>873</v>
      </c>
      <c r="Q195">
        <v>0</v>
      </c>
      <c r="R195">
        <v>0</v>
      </c>
      <c r="U195" t="s">
        <v>73</v>
      </c>
      <c r="V195" t="s">
        <v>72</v>
      </c>
      <c r="W195" t="s">
        <v>72</v>
      </c>
      <c r="X195" t="s">
        <v>72</v>
      </c>
      <c r="Y195">
        <v>0</v>
      </c>
      <c r="Z195">
        <v>0</v>
      </c>
      <c r="AC195" t="s">
        <v>73</v>
      </c>
      <c r="AD195" t="s">
        <v>72</v>
      </c>
      <c r="AE195" t="s">
        <v>72</v>
      </c>
      <c r="AF195" t="s">
        <v>72</v>
      </c>
      <c r="AG195">
        <v>0</v>
      </c>
      <c r="AH195">
        <v>0</v>
      </c>
      <c r="AK195" t="s">
        <v>73</v>
      </c>
      <c r="AL195" t="s">
        <v>72</v>
      </c>
      <c r="AM195" t="s">
        <v>72</v>
      </c>
      <c r="AN195" t="s">
        <v>72</v>
      </c>
      <c r="AO195">
        <v>0</v>
      </c>
      <c r="AP195">
        <v>0</v>
      </c>
      <c r="AS195" t="s">
        <v>73</v>
      </c>
      <c r="AT195" t="s">
        <v>72</v>
      </c>
      <c r="AU195" t="s">
        <v>72</v>
      </c>
      <c r="AV195" t="s">
        <v>72</v>
      </c>
      <c r="AY195">
        <v>0</v>
      </c>
    </row>
    <row r="196" spans="1:51" x14ac:dyDescent="0.2">
      <c r="A196" t="s">
        <v>882</v>
      </c>
      <c r="B196" t="s">
        <v>183</v>
      </c>
      <c r="C196" t="s">
        <v>184</v>
      </c>
      <c r="D196" t="s">
        <v>390</v>
      </c>
      <c r="E196" t="s">
        <v>391</v>
      </c>
      <c r="F196" t="s">
        <v>392</v>
      </c>
      <c r="G196" t="s">
        <v>870</v>
      </c>
      <c r="H196" t="s">
        <v>871</v>
      </c>
      <c r="I196" t="s">
        <v>883</v>
      </c>
      <c r="J196" t="s">
        <v>873</v>
      </c>
      <c r="K196" t="s">
        <v>72</v>
      </c>
      <c r="O196" t="s">
        <v>873</v>
      </c>
      <c r="Q196">
        <v>0</v>
      </c>
      <c r="R196">
        <v>0</v>
      </c>
      <c r="U196" t="s">
        <v>73</v>
      </c>
      <c r="V196" t="s">
        <v>72</v>
      </c>
      <c r="W196" t="s">
        <v>72</v>
      </c>
      <c r="X196" t="s">
        <v>72</v>
      </c>
      <c r="Y196">
        <v>0</v>
      </c>
      <c r="Z196">
        <v>0</v>
      </c>
      <c r="AC196" t="s">
        <v>73</v>
      </c>
      <c r="AD196" t="s">
        <v>72</v>
      </c>
      <c r="AE196" t="s">
        <v>72</v>
      </c>
      <c r="AF196" t="s">
        <v>72</v>
      </c>
      <c r="AG196">
        <v>0</v>
      </c>
      <c r="AH196">
        <v>0</v>
      </c>
      <c r="AK196" t="s">
        <v>73</v>
      </c>
      <c r="AL196" t="s">
        <v>72</v>
      </c>
      <c r="AM196" t="s">
        <v>72</v>
      </c>
      <c r="AN196" t="s">
        <v>72</v>
      </c>
      <c r="AO196">
        <v>0</v>
      </c>
      <c r="AP196">
        <v>0</v>
      </c>
      <c r="AS196" t="s">
        <v>73</v>
      </c>
      <c r="AT196" t="s">
        <v>72</v>
      </c>
      <c r="AU196" t="s">
        <v>72</v>
      </c>
      <c r="AV196" t="s">
        <v>72</v>
      </c>
      <c r="AY196">
        <v>0</v>
      </c>
    </row>
    <row r="197" spans="1:51" x14ac:dyDescent="0.2">
      <c r="A197" t="s">
        <v>884</v>
      </c>
      <c r="B197" t="s">
        <v>183</v>
      </c>
      <c r="C197" t="s">
        <v>184</v>
      </c>
      <c r="D197" t="s">
        <v>390</v>
      </c>
      <c r="E197" t="s">
        <v>391</v>
      </c>
      <c r="F197" t="s">
        <v>392</v>
      </c>
      <c r="G197" t="s">
        <v>870</v>
      </c>
      <c r="H197" t="s">
        <v>871</v>
      </c>
      <c r="I197" t="s">
        <v>885</v>
      </c>
      <c r="J197" t="s">
        <v>873</v>
      </c>
      <c r="K197" t="s">
        <v>72</v>
      </c>
      <c r="O197" t="s">
        <v>873</v>
      </c>
      <c r="Q197">
        <v>0</v>
      </c>
      <c r="R197">
        <v>0</v>
      </c>
      <c r="U197" t="s">
        <v>73</v>
      </c>
      <c r="V197" t="s">
        <v>72</v>
      </c>
      <c r="W197" t="s">
        <v>72</v>
      </c>
      <c r="X197" t="s">
        <v>72</v>
      </c>
      <c r="Y197">
        <v>0</v>
      </c>
      <c r="Z197">
        <v>0</v>
      </c>
      <c r="AC197" t="s">
        <v>73</v>
      </c>
      <c r="AD197" t="s">
        <v>72</v>
      </c>
      <c r="AE197" t="s">
        <v>72</v>
      </c>
      <c r="AF197" t="s">
        <v>72</v>
      </c>
      <c r="AG197">
        <v>0</v>
      </c>
      <c r="AH197">
        <v>0</v>
      </c>
      <c r="AK197" t="s">
        <v>73</v>
      </c>
      <c r="AL197" t="s">
        <v>72</v>
      </c>
      <c r="AM197" t="s">
        <v>72</v>
      </c>
      <c r="AN197" t="s">
        <v>72</v>
      </c>
      <c r="AO197">
        <v>0</v>
      </c>
      <c r="AP197">
        <v>0</v>
      </c>
      <c r="AS197" t="s">
        <v>73</v>
      </c>
      <c r="AT197" t="s">
        <v>72</v>
      </c>
      <c r="AU197" t="s">
        <v>72</v>
      </c>
      <c r="AV197" t="s">
        <v>72</v>
      </c>
      <c r="AY197">
        <v>0</v>
      </c>
    </row>
    <row r="198" spans="1:51" x14ac:dyDescent="0.2">
      <c r="A198" t="s">
        <v>886</v>
      </c>
      <c r="B198" t="s">
        <v>183</v>
      </c>
      <c r="C198" t="s">
        <v>184</v>
      </c>
      <c r="D198" t="s">
        <v>390</v>
      </c>
      <c r="E198" t="s">
        <v>391</v>
      </c>
      <c r="F198" t="s">
        <v>392</v>
      </c>
      <c r="G198" t="s">
        <v>870</v>
      </c>
      <c r="H198" t="s">
        <v>871</v>
      </c>
      <c r="I198" t="s">
        <v>887</v>
      </c>
      <c r="J198" t="s">
        <v>873</v>
      </c>
      <c r="K198" t="s">
        <v>72</v>
      </c>
      <c r="O198" t="s">
        <v>873</v>
      </c>
      <c r="Q198">
        <v>0</v>
      </c>
      <c r="R198">
        <v>0</v>
      </c>
      <c r="U198" t="s">
        <v>73</v>
      </c>
      <c r="V198" t="s">
        <v>72</v>
      </c>
      <c r="W198" t="s">
        <v>72</v>
      </c>
      <c r="X198" t="s">
        <v>72</v>
      </c>
      <c r="Y198">
        <v>0</v>
      </c>
      <c r="Z198">
        <v>0</v>
      </c>
      <c r="AC198" t="s">
        <v>73</v>
      </c>
      <c r="AD198" t="s">
        <v>72</v>
      </c>
      <c r="AE198" t="s">
        <v>72</v>
      </c>
      <c r="AF198" t="s">
        <v>72</v>
      </c>
      <c r="AG198">
        <v>0</v>
      </c>
      <c r="AH198">
        <v>0</v>
      </c>
      <c r="AK198" t="s">
        <v>73</v>
      </c>
      <c r="AL198" t="s">
        <v>72</v>
      </c>
      <c r="AM198" t="s">
        <v>72</v>
      </c>
      <c r="AN198" t="s">
        <v>72</v>
      </c>
      <c r="AO198">
        <v>0</v>
      </c>
      <c r="AP198">
        <v>0</v>
      </c>
      <c r="AS198" t="s">
        <v>73</v>
      </c>
      <c r="AT198" t="s">
        <v>72</v>
      </c>
      <c r="AU198" t="s">
        <v>72</v>
      </c>
      <c r="AV198" t="s">
        <v>72</v>
      </c>
      <c r="AY198">
        <v>0</v>
      </c>
    </row>
    <row r="199" spans="1:51" x14ac:dyDescent="0.2">
      <c r="A199" t="s">
        <v>888</v>
      </c>
      <c r="B199" t="s">
        <v>183</v>
      </c>
      <c r="C199" t="s">
        <v>184</v>
      </c>
      <c r="D199" t="s">
        <v>390</v>
      </c>
      <c r="E199" t="s">
        <v>391</v>
      </c>
      <c r="F199" t="s">
        <v>392</v>
      </c>
      <c r="G199" t="s">
        <v>870</v>
      </c>
      <c r="H199" t="s">
        <v>871</v>
      </c>
      <c r="I199" t="s">
        <v>889</v>
      </c>
      <c r="J199" t="s">
        <v>873</v>
      </c>
      <c r="K199" t="s">
        <v>72</v>
      </c>
      <c r="O199" t="s">
        <v>873</v>
      </c>
      <c r="Q199">
        <v>0</v>
      </c>
      <c r="R199">
        <v>0</v>
      </c>
      <c r="U199" t="s">
        <v>73</v>
      </c>
      <c r="V199" t="s">
        <v>72</v>
      </c>
      <c r="W199" t="s">
        <v>72</v>
      </c>
      <c r="X199" t="s">
        <v>72</v>
      </c>
      <c r="Y199">
        <v>0</v>
      </c>
      <c r="Z199">
        <v>0</v>
      </c>
      <c r="AC199" t="s">
        <v>73</v>
      </c>
      <c r="AD199" t="s">
        <v>72</v>
      </c>
      <c r="AE199" t="s">
        <v>72</v>
      </c>
      <c r="AF199" t="s">
        <v>72</v>
      </c>
      <c r="AG199">
        <v>0</v>
      </c>
      <c r="AH199">
        <v>0</v>
      </c>
      <c r="AK199" t="s">
        <v>73</v>
      </c>
      <c r="AL199" t="s">
        <v>72</v>
      </c>
      <c r="AM199" t="s">
        <v>72</v>
      </c>
      <c r="AN199" t="s">
        <v>72</v>
      </c>
      <c r="AO199">
        <v>0</v>
      </c>
      <c r="AP199">
        <v>0</v>
      </c>
      <c r="AS199" t="s">
        <v>73</v>
      </c>
      <c r="AT199" t="s">
        <v>72</v>
      </c>
      <c r="AU199" t="s">
        <v>72</v>
      </c>
      <c r="AV199" t="s">
        <v>72</v>
      </c>
      <c r="AY199">
        <v>0</v>
      </c>
    </row>
    <row r="200" spans="1:51" x14ac:dyDescent="0.2">
      <c r="A200" t="s">
        <v>890</v>
      </c>
      <c r="B200" t="s">
        <v>183</v>
      </c>
      <c r="C200" t="s">
        <v>184</v>
      </c>
      <c r="D200" t="s">
        <v>413</v>
      </c>
      <c r="E200" t="s">
        <v>414</v>
      </c>
      <c r="F200" t="s">
        <v>415</v>
      </c>
      <c r="G200" t="s">
        <v>416</v>
      </c>
      <c r="H200" t="s">
        <v>417</v>
      </c>
      <c r="I200" t="s">
        <v>891</v>
      </c>
      <c r="J200" t="s">
        <v>420</v>
      </c>
      <c r="K200" t="s">
        <v>72</v>
      </c>
      <c r="O200" t="s">
        <v>420</v>
      </c>
      <c r="Q200">
        <v>0</v>
      </c>
      <c r="R200">
        <v>0</v>
      </c>
      <c r="U200" t="s">
        <v>73</v>
      </c>
      <c r="V200" t="s">
        <v>72</v>
      </c>
      <c r="W200" t="s">
        <v>72</v>
      </c>
      <c r="X200" t="s">
        <v>72</v>
      </c>
      <c r="Y200">
        <v>0</v>
      </c>
      <c r="Z200">
        <v>0</v>
      </c>
      <c r="AC200" t="s">
        <v>73</v>
      </c>
      <c r="AD200" t="s">
        <v>72</v>
      </c>
      <c r="AE200" t="s">
        <v>72</v>
      </c>
      <c r="AF200" t="s">
        <v>72</v>
      </c>
      <c r="AG200">
        <v>0</v>
      </c>
      <c r="AH200">
        <v>0</v>
      </c>
      <c r="AK200" t="s">
        <v>73</v>
      </c>
      <c r="AL200" t="s">
        <v>72</v>
      </c>
      <c r="AM200" t="s">
        <v>72</v>
      </c>
      <c r="AN200" t="s">
        <v>72</v>
      </c>
      <c r="AO200">
        <v>0</v>
      </c>
      <c r="AP200">
        <v>0</v>
      </c>
      <c r="AS200" t="s">
        <v>73</v>
      </c>
      <c r="AT200" t="s">
        <v>72</v>
      </c>
      <c r="AU200" t="s">
        <v>72</v>
      </c>
      <c r="AV200" t="s">
        <v>72</v>
      </c>
      <c r="AY200">
        <v>0</v>
      </c>
    </row>
    <row r="201" spans="1:51" x14ac:dyDescent="0.2">
      <c r="A201" t="s">
        <v>892</v>
      </c>
      <c r="B201" t="s">
        <v>183</v>
      </c>
      <c r="C201" t="s">
        <v>184</v>
      </c>
      <c r="D201" t="s">
        <v>413</v>
      </c>
      <c r="E201" t="s">
        <v>414</v>
      </c>
      <c r="F201" t="s">
        <v>415</v>
      </c>
      <c r="G201" t="s">
        <v>416</v>
      </c>
      <c r="H201" t="s">
        <v>417</v>
      </c>
      <c r="I201" t="s">
        <v>893</v>
      </c>
      <c r="J201" t="s">
        <v>420</v>
      </c>
      <c r="K201" t="s">
        <v>72</v>
      </c>
      <c r="O201" t="s">
        <v>420</v>
      </c>
      <c r="Q201">
        <v>0</v>
      </c>
      <c r="R201">
        <v>0</v>
      </c>
      <c r="U201" t="s">
        <v>73</v>
      </c>
      <c r="V201" t="s">
        <v>72</v>
      </c>
      <c r="W201" t="s">
        <v>72</v>
      </c>
      <c r="X201" t="s">
        <v>72</v>
      </c>
      <c r="Y201">
        <v>0</v>
      </c>
      <c r="Z201">
        <v>0</v>
      </c>
      <c r="AC201" t="s">
        <v>73</v>
      </c>
      <c r="AD201" t="s">
        <v>72</v>
      </c>
      <c r="AE201" t="s">
        <v>72</v>
      </c>
      <c r="AF201" t="s">
        <v>72</v>
      </c>
      <c r="AG201">
        <v>0</v>
      </c>
      <c r="AH201">
        <v>0</v>
      </c>
      <c r="AK201" t="s">
        <v>73</v>
      </c>
      <c r="AL201" t="s">
        <v>72</v>
      </c>
      <c r="AM201" t="s">
        <v>72</v>
      </c>
      <c r="AN201" t="s">
        <v>72</v>
      </c>
      <c r="AO201">
        <v>0</v>
      </c>
      <c r="AP201">
        <v>0</v>
      </c>
      <c r="AS201" t="s">
        <v>73</v>
      </c>
      <c r="AT201" t="s">
        <v>72</v>
      </c>
      <c r="AU201" t="s">
        <v>72</v>
      </c>
      <c r="AV201" t="s">
        <v>72</v>
      </c>
      <c r="AY201">
        <v>0</v>
      </c>
    </row>
    <row r="202" spans="1:51" x14ac:dyDescent="0.2">
      <c r="A202" t="s">
        <v>894</v>
      </c>
      <c r="B202" t="s">
        <v>183</v>
      </c>
      <c r="C202" t="s">
        <v>184</v>
      </c>
      <c r="D202" t="s">
        <v>413</v>
      </c>
      <c r="E202" t="s">
        <v>414</v>
      </c>
      <c r="F202" t="s">
        <v>415</v>
      </c>
      <c r="G202" t="s">
        <v>895</v>
      </c>
      <c r="H202" t="s">
        <v>896</v>
      </c>
      <c r="I202" t="s">
        <v>897</v>
      </c>
      <c r="J202" t="s">
        <v>898</v>
      </c>
      <c r="K202" t="s">
        <v>72</v>
      </c>
      <c r="O202" t="s">
        <v>898</v>
      </c>
      <c r="Q202">
        <v>0</v>
      </c>
      <c r="R202">
        <v>0</v>
      </c>
      <c r="U202" t="s">
        <v>73</v>
      </c>
      <c r="V202" t="s">
        <v>72</v>
      </c>
      <c r="W202" t="s">
        <v>72</v>
      </c>
      <c r="X202" t="s">
        <v>72</v>
      </c>
      <c r="Y202">
        <v>0</v>
      </c>
      <c r="Z202">
        <v>0</v>
      </c>
      <c r="AC202" t="s">
        <v>73</v>
      </c>
      <c r="AD202" t="s">
        <v>72</v>
      </c>
      <c r="AE202" t="s">
        <v>72</v>
      </c>
      <c r="AF202" t="s">
        <v>72</v>
      </c>
      <c r="AG202">
        <v>0</v>
      </c>
      <c r="AH202">
        <v>0</v>
      </c>
      <c r="AK202" t="s">
        <v>73</v>
      </c>
      <c r="AL202" t="s">
        <v>72</v>
      </c>
      <c r="AM202" t="s">
        <v>72</v>
      </c>
      <c r="AN202" t="s">
        <v>72</v>
      </c>
      <c r="AO202">
        <v>0</v>
      </c>
      <c r="AP202">
        <v>0</v>
      </c>
      <c r="AS202" t="s">
        <v>73</v>
      </c>
      <c r="AT202" t="s">
        <v>72</v>
      </c>
      <c r="AU202" t="s">
        <v>72</v>
      </c>
      <c r="AV202" t="s">
        <v>72</v>
      </c>
      <c r="AY202">
        <v>0</v>
      </c>
    </row>
    <row r="203" spans="1:51" x14ac:dyDescent="0.2">
      <c r="A203" t="s">
        <v>899</v>
      </c>
      <c r="B203" t="s">
        <v>183</v>
      </c>
      <c r="C203" t="s">
        <v>184</v>
      </c>
      <c r="D203" t="s">
        <v>413</v>
      </c>
      <c r="E203" t="s">
        <v>414</v>
      </c>
      <c r="F203" t="s">
        <v>415</v>
      </c>
      <c r="G203" t="s">
        <v>895</v>
      </c>
      <c r="H203" t="s">
        <v>896</v>
      </c>
      <c r="I203" t="s">
        <v>900</v>
      </c>
      <c r="J203" t="s">
        <v>898</v>
      </c>
      <c r="K203" t="s">
        <v>72</v>
      </c>
      <c r="O203" t="s">
        <v>898</v>
      </c>
      <c r="Q203">
        <v>0</v>
      </c>
      <c r="R203">
        <v>0</v>
      </c>
      <c r="U203" t="s">
        <v>73</v>
      </c>
      <c r="V203" t="s">
        <v>72</v>
      </c>
      <c r="W203" t="s">
        <v>72</v>
      </c>
      <c r="X203" t="s">
        <v>72</v>
      </c>
      <c r="Y203">
        <v>0</v>
      </c>
      <c r="Z203">
        <v>0</v>
      </c>
      <c r="AC203" t="s">
        <v>73</v>
      </c>
      <c r="AD203" t="s">
        <v>72</v>
      </c>
      <c r="AE203" t="s">
        <v>72</v>
      </c>
      <c r="AF203" t="s">
        <v>72</v>
      </c>
      <c r="AG203">
        <v>0</v>
      </c>
      <c r="AH203">
        <v>0</v>
      </c>
      <c r="AK203" t="s">
        <v>73</v>
      </c>
      <c r="AL203" t="s">
        <v>72</v>
      </c>
      <c r="AM203" t="s">
        <v>72</v>
      </c>
      <c r="AN203" t="s">
        <v>72</v>
      </c>
      <c r="AO203">
        <v>0</v>
      </c>
      <c r="AP203">
        <v>0</v>
      </c>
      <c r="AS203" t="s">
        <v>73</v>
      </c>
      <c r="AT203" t="s">
        <v>72</v>
      </c>
      <c r="AU203" t="s">
        <v>72</v>
      </c>
      <c r="AV203" t="s">
        <v>72</v>
      </c>
      <c r="AY203">
        <v>0</v>
      </c>
    </row>
    <row r="204" spans="1:51" x14ac:dyDescent="0.2">
      <c r="A204" t="s">
        <v>901</v>
      </c>
      <c r="B204" t="s">
        <v>183</v>
      </c>
      <c r="C204" t="s">
        <v>184</v>
      </c>
      <c r="D204" t="s">
        <v>413</v>
      </c>
      <c r="E204" t="s">
        <v>414</v>
      </c>
      <c r="F204" t="s">
        <v>415</v>
      </c>
      <c r="G204" t="s">
        <v>895</v>
      </c>
      <c r="H204" t="s">
        <v>896</v>
      </c>
      <c r="I204" t="s">
        <v>902</v>
      </c>
      <c r="J204" t="s">
        <v>898</v>
      </c>
      <c r="K204" t="s">
        <v>72</v>
      </c>
      <c r="O204" t="s">
        <v>898</v>
      </c>
      <c r="Q204">
        <v>0</v>
      </c>
      <c r="R204">
        <v>0</v>
      </c>
      <c r="U204" t="s">
        <v>73</v>
      </c>
      <c r="V204" t="s">
        <v>72</v>
      </c>
      <c r="W204" t="s">
        <v>72</v>
      </c>
      <c r="X204" t="s">
        <v>72</v>
      </c>
      <c r="Y204">
        <v>0</v>
      </c>
      <c r="Z204">
        <v>0</v>
      </c>
      <c r="AC204" t="s">
        <v>73</v>
      </c>
      <c r="AD204" t="s">
        <v>72</v>
      </c>
      <c r="AE204" t="s">
        <v>72</v>
      </c>
      <c r="AF204" t="s">
        <v>72</v>
      </c>
      <c r="AG204">
        <v>0</v>
      </c>
      <c r="AH204">
        <v>0</v>
      </c>
      <c r="AK204" t="s">
        <v>73</v>
      </c>
      <c r="AL204" t="s">
        <v>72</v>
      </c>
      <c r="AM204" t="s">
        <v>72</v>
      </c>
      <c r="AN204" t="s">
        <v>72</v>
      </c>
      <c r="AO204">
        <v>0</v>
      </c>
      <c r="AP204">
        <v>0</v>
      </c>
      <c r="AS204" t="s">
        <v>73</v>
      </c>
      <c r="AT204" t="s">
        <v>72</v>
      </c>
      <c r="AU204" t="s">
        <v>72</v>
      </c>
      <c r="AV204" t="s">
        <v>72</v>
      </c>
      <c r="AY204">
        <v>0</v>
      </c>
    </row>
    <row r="205" spans="1:51" x14ac:dyDescent="0.2">
      <c r="A205" t="s">
        <v>903</v>
      </c>
      <c r="B205" t="s">
        <v>183</v>
      </c>
      <c r="C205" t="s">
        <v>184</v>
      </c>
      <c r="D205" t="s">
        <v>413</v>
      </c>
      <c r="E205" t="s">
        <v>414</v>
      </c>
      <c r="F205" t="s">
        <v>415</v>
      </c>
      <c r="G205" t="s">
        <v>895</v>
      </c>
      <c r="H205" t="s">
        <v>896</v>
      </c>
      <c r="I205" t="s">
        <v>904</v>
      </c>
      <c r="J205" t="s">
        <v>898</v>
      </c>
      <c r="K205" t="s">
        <v>72</v>
      </c>
      <c r="O205" t="s">
        <v>898</v>
      </c>
      <c r="Q205">
        <v>0</v>
      </c>
      <c r="R205">
        <v>0</v>
      </c>
      <c r="U205" t="s">
        <v>73</v>
      </c>
      <c r="V205" t="s">
        <v>72</v>
      </c>
      <c r="W205" t="s">
        <v>72</v>
      </c>
      <c r="X205" t="s">
        <v>72</v>
      </c>
      <c r="Y205">
        <v>0</v>
      </c>
      <c r="Z205">
        <v>0</v>
      </c>
      <c r="AC205" t="s">
        <v>73</v>
      </c>
      <c r="AD205" t="s">
        <v>72</v>
      </c>
      <c r="AE205" t="s">
        <v>72</v>
      </c>
      <c r="AF205" t="s">
        <v>72</v>
      </c>
      <c r="AG205">
        <v>0</v>
      </c>
      <c r="AH205">
        <v>0</v>
      </c>
      <c r="AK205" t="s">
        <v>73</v>
      </c>
      <c r="AL205" t="s">
        <v>72</v>
      </c>
      <c r="AM205" t="s">
        <v>72</v>
      </c>
      <c r="AN205" t="s">
        <v>72</v>
      </c>
      <c r="AO205">
        <v>0</v>
      </c>
      <c r="AP205">
        <v>0</v>
      </c>
      <c r="AS205" t="s">
        <v>73</v>
      </c>
      <c r="AT205" t="s">
        <v>72</v>
      </c>
      <c r="AU205" t="s">
        <v>72</v>
      </c>
      <c r="AV205" t="s">
        <v>72</v>
      </c>
      <c r="AY205">
        <v>0</v>
      </c>
    </row>
    <row r="206" spans="1:51" x14ac:dyDescent="0.2">
      <c r="A206" t="s">
        <v>905</v>
      </c>
      <c r="B206" t="s">
        <v>183</v>
      </c>
      <c r="C206" t="s">
        <v>184</v>
      </c>
      <c r="D206" t="s">
        <v>413</v>
      </c>
      <c r="E206" t="s">
        <v>414</v>
      </c>
      <c r="F206" t="s">
        <v>415</v>
      </c>
      <c r="G206" t="s">
        <v>895</v>
      </c>
      <c r="H206" t="s">
        <v>896</v>
      </c>
      <c r="I206" t="s">
        <v>906</v>
      </c>
      <c r="J206" t="s">
        <v>898</v>
      </c>
      <c r="K206" t="s">
        <v>72</v>
      </c>
      <c r="O206" t="s">
        <v>898</v>
      </c>
      <c r="Q206">
        <v>0</v>
      </c>
      <c r="R206">
        <v>0</v>
      </c>
      <c r="U206" t="s">
        <v>73</v>
      </c>
      <c r="V206" t="s">
        <v>72</v>
      </c>
      <c r="W206" t="s">
        <v>72</v>
      </c>
      <c r="X206" t="s">
        <v>72</v>
      </c>
      <c r="Y206">
        <v>0</v>
      </c>
      <c r="Z206">
        <v>0</v>
      </c>
      <c r="AC206" t="s">
        <v>73</v>
      </c>
      <c r="AD206" t="s">
        <v>72</v>
      </c>
      <c r="AE206" t="s">
        <v>72</v>
      </c>
      <c r="AF206" t="s">
        <v>72</v>
      </c>
      <c r="AG206">
        <v>0</v>
      </c>
      <c r="AH206">
        <v>0</v>
      </c>
      <c r="AK206" t="s">
        <v>73</v>
      </c>
      <c r="AL206" t="s">
        <v>72</v>
      </c>
      <c r="AM206" t="s">
        <v>72</v>
      </c>
      <c r="AN206" t="s">
        <v>72</v>
      </c>
      <c r="AO206">
        <v>0</v>
      </c>
      <c r="AP206">
        <v>0</v>
      </c>
      <c r="AS206" t="s">
        <v>73</v>
      </c>
      <c r="AT206" t="s">
        <v>72</v>
      </c>
      <c r="AU206" t="s">
        <v>72</v>
      </c>
      <c r="AV206" t="s">
        <v>72</v>
      </c>
      <c r="AY206">
        <v>0</v>
      </c>
    </row>
    <row r="207" spans="1:51" x14ac:dyDescent="0.2">
      <c r="A207" t="s">
        <v>907</v>
      </c>
      <c r="B207" t="s">
        <v>183</v>
      </c>
      <c r="C207" t="s">
        <v>184</v>
      </c>
      <c r="D207" t="s">
        <v>413</v>
      </c>
      <c r="E207" t="s">
        <v>414</v>
      </c>
      <c r="F207" t="s">
        <v>415</v>
      </c>
      <c r="G207" t="s">
        <v>895</v>
      </c>
      <c r="H207" t="s">
        <v>896</v>
      </c>
      <c r="I207" t="s">
        <v>908</v>
      </c>
      <c r="J207" t="s">
        <v>898</v>
      </c>
      <c r="K207" t="s">
        <v>72</v>
      </c>
      <c r="O207" t="s">
        <v>898</v>
      </c>
      <c r="Q207">
        <v>0</v>
      </c>
      <c r="R207">
        <v>0</v>
      </c>
      <c r="U207" t="s">
        <v>73</v>
      </c>
      <c r="V207" t="s">
        <v>72</v>
      </c>
      <c r="W207" t="s">
        <v>72</v>
      </c>
      <c r="X207" t="s">
        <v>72</v>
      </c>
      <c r="Y207">
        <v>0</v>
      </c>
      <c r="Z207">
        <v>0</v>
      </c>
      <c r="AC207" t="s">
        <v>73</v>
      </c>
      <c r="AD207" t="s">
        <v>72</v>
      </c>
      <c r="AE207" t="s">
        <v>72</v>
      </c>
      <c r="AF207" t="s">
        <v>72</v>
      </c>
      <c r="AG207">
        <v>0</v>
      </c>
      <c r="AH207">
        <v>0</v>
      </c>
      <c r="AK207" t="s">
        <v>73</v>
      </c>
      <c r="AL207" t="s">
        <v>72</v>
      </c>
      <c r="AM207" t="s">
        <v>72</v>
      </c>
      <c r="AN207" t="s">
        <v>72</v>
      </c>
      <c r="AO207">
        <v>0</v>
      </c>
      <c r="AP207">
        <v>0</v>
      </c>
      <c r="AS207" t="s">
        <v>73</v>
      </c>
      <c r="AT207" t="s">
        <v>72</v>
      </c>
      <c r="AU207" t="s">
        <v>72</v>
      </c>
      <c r="AV207" t="s">
        <v>72</v>
      </c>
      <c r="AY207">
        <v>0</v>
      </c>
    </row>
    <row r="208" spans="1:51" x14ac:dyDescent="0.2">
      <c r="A208" t="s">
        <v>909</v>
      </c>
      <c r="B208" t="s">
        <v>183</v>
      </c>
      <c r="C208" t="s">
        <v>184</v>
      </c>
      <c r="D208" t="s">
        <v>413</v>
      </c>
      <c r="E208" t="s">
        <v>414</v>
      </c>
      <c r="F208" t="s">
        <v>415</v>
      </c>
      <c r="G208" t="s">
        <v>910</v>
      </c>
      <c r="H208" t="s">
        <v>911</v>
      </c>
      <c r="I208" t="s">
        <v>912</v>
      </c>
      <c r="J208" t="s">
        <v>913</v>
      </c>
      <c r="K208" t="s">
        <v>72</v>
      </c>
      <c r="O208" t="s">
        <v>913</v>
      </c>
      <c r="Q208">
        <v>0</v>
      </c>
      <c r="R208">
        <v>0</v>
      </c>
      <c r="U208" t="s">
        <v>73</v>
      </c>
      <c r="V208" t="s">
        <v>72</v>
      </c>
      <c r="W208" t="s">
        <v>72</v>
      </c>
      <c r="X208" t="s">
        <v>72</v>
      </c>
      <c r="Y208">
        <v>0</v>
      </c>
      <c r="Z208">
        <v>0</v>
      </c>
      <c r="AC208" t="s">
        <v>73</v>
      </c>
      <c r="AD208" t="s">
        <v>72</v>
      </c>
      <c r="AE208" t="s">
        <v>72</v>
      </c>
      <c r="AF208" t="s">
        <v>72</v>
      </c>
      <c r="AG208">
        <v>0</v>
      </c>
      <c r="AH208">
        <v>0</v>
      </c>
      <c r="AK208" t="s">
        <v>73</v>
      </c>
      <c r="AL208" t="s">
        <v>72</v>
      </c>
      <c r="AM208" t="s">
        <v>72</v>
      </c>
      <c r="AN208" t="s">
        <v>72</v>
      </c>
      <c r="AO208">
        <v>0</v>
      </c>
      <c r="AP208">
        <v>0</v>
      </c>
      <c r="AS208" t="s">
        <v>73</v>
      </c>
      <c r="AT208" t="s">
        <v>72</v>
      </c>
      <c r="AU208" t="s">
        <v>72</v>
      </c>
      <c r="AV208" t="s">
        <v>72</v>
      </c>
      <c r="AY208">
        <v>0</v>
      </c>
    </row>
    <row r="209" spans="1:51" x14ac:dyDescent="0.2">
      <c r="A209" t="s">
        <v>914</v>
      </c>
      <c r="B209" t="s">
        <v>183</v>
      </c>
      <c r="C209" t="s">
        <v>184</v>
      </c>
      <c r="D209" t="s">
        <v>413</v>
      </c>
      <c r="E209" t="s">
        <v>414</v>
      </c>
      <c r="F209" t="s">
        <v>415</v>
      </c>
      <c r="G209" t="s">
        <v>910</v>
      </c>
      <c r="H209" t="s">
        <v>911</v>
      </c>
      <c r="I209" t="s">
        <v>915</v>
      </c>
      <c r="J209" t="s">
        <v>913</v>
      </c>
      <c r="K209" t="s">
        <v>72</v>
      </c>
      <c r="O209" t="s">
        <v>913</v>
      </c>
      <c r="Q209">
        <v>0</v>
      </c>
      <c r="R209">
        <v>0</v>
      </c>
      <c r="U209" t="s">
        <v>73</v>
      </c>
      <c r="V209" t="s">
        <v>72</v>
      </c>
      <c r="W209" t="s">
        <v>72</v>
      </c>
      <c r="X209" t="s">
        <v>72</v>
      </c>
      <c r="Y209">
        <v>0</v>
      </c>
      <c r="Z209">
        <v>0</v>
      </c>
      <c r="AC209" t="s">
        <v>73</v>
      </c>
      <c r="AD209" t="s">
        <v>72</v>
      </c>
      <c r="AE209" t="s">
        <v>72</v>
      </c>
      <c r="AF209" t="s">
        <v>72</v>
      </c>
      <c r="AG209">
        <v>0</v>
      </c>
      <c r="AH209">
        <v>0</v>
      </c>
      <c r="AK209" t="s">
        <v>73</v>
      </c>
      <c r="AL209" t="s">
        <v>72</v>
      </c>
      <c r="AM209" t="s">
        <v>72</v>
      </c>
      <c r="AN209" t="s">
        <v>72</v>
      </c>
      <c r="AO209">
        <v>0</v>
      </c>
      <c r="AP209">
        <v>0</v>
      </c>
      <c r="AS209" t="s">
        <v>73</v>
      </c>
      <c r="AT209" t="s">
        <v>72</v>
      </c>
      <c r="AU209" t="s">
        <v>72</v>
      </c>
      <c r="AV209" t="s">
        <v>72</v>
      </c>
      <c r="AY209">
        <v>0</v>
      </c>
    </row>
    <row r="210" spans="1:51" x14ac:dyDescent="0.2">
      <c r="A210" t="s">
        <v>916</v>
      </c>
      <c r="B210" t="s">
        <v>183</v>
      </c>
      <c r="C210" t="s">
        <v>184</v>
      </c>
      <c r="D210" t="s">
        <v>413</v>
      </c>
      <c r="E210" t="s">
        <v>414</v>
      </c>
      <c r="F210" t="s">
        <v>415</v>
      </c>
      <c r="G210" t="s">
        <v>910</v>
      </c>
      <c r="H210" t="s">
        <v>911</v>
      </c>
      <c r="I210" t="s">
        <v>917</v>
      </c>
      <c r="J210" t="s">
        <v>913</v>
      </c>
      <c r="K210" t="s">
        <v>72</v>
      </c>
      <c r="O210" t="s">
        <v>913</v>
      </c>
      <c r="Q210">
        <v>0</v>
      </c>
      <c r="R210">
        <v>0</v>
      </c>
      <c r="U210" t="s">
        <v>73</v>
      </c>
      <c r="V210" t="s">
        <v>72</v>
      </c>
      <c r="W210" t="s">
        <v>72</v>
      </c>
      <c r="X210" t="s">
        <v>72</v>
      </c>
      <c r="Y210">
        <v>0</v>
      </c>
      <c r="Z210">
        <v>0</v>
      </c>
      <c r="AC210" t="s">
        <v>73</v>
      </c>
      <c r="AD210" t="s">
        <v>72</v>
      </c>
      <c r="AE210" t="s">
        <v>72</v>
      </c>
      <c r="AF210" t="s">
        <v>72</v>
      </c>
      <c r="AG210">
        <v>0</v>
      </c>
      <c r="AH210">
        <v>0</v>
      </c>
      <c r="AK210" t="s">
        <v>73</v>
      </c>
      <c r="AL210" t="s">
        <v>72</v>
      </c>
      <c r="AM210" t="s">
        <v>72</v>
      </c>
      <c r="AN210" t="s">
        <v>72</v>
      </c>
      <c r="AO210">
        <v>0</v>
      </c>
      <c r="AP210">
        <v>0</v>
      </c>
      <c r="AS210" t="s">
        <v>73</v>
      </c>
      <c r="AT210" t="s">
        <v>72</v>
      </c>
      <c r="AU210" t="s">
        <v>72</v>
      </c>
      <c r="AV210" t="s">
        <v>72</v>
      </c>
      <c r="AY210">
        <v>0</v>
      </c>
    </row>
    <row r="211" spans="1:51" x14ac:dyDescent="0.2">
      <c r="A211" t="s">
        <v>918</v>
      </c>
      <c r="B211" t="s">
        <v>183</v>
      </c>
      <c r="C211" t="s">
        <v>184</v>
      </c>
      <c r="D211" t="s">
        <v>413</v>
      </c>
      <c r="E211" t="s">
        <v>414</v>
      </c>
      <c r="F211" t="s">
        <v>415</v>
      </c>
      <c r="G211" t="s">
        <v>919</v>
      </c>
      <c r="H211" t="s">
        <v>920</v>
      </c>
      <c r="I211" t="s">
        <v>921</v>
      </c>
      <c r="J211" t="s">
        <v>922</v>
      </c>
      <c r="K211" t="s">
        <v>72</v>
      </c>
      <c r="O211" t="s">
        <v>922</v>
      </c>
      <c r="Q211">
        <v>0</v>
      </c>
      <c r="R211">
        <v>0</v>
      </c>
      <c r="U211" t="s">
        <v>73</v>
      </c>
      <c r="V211" t="s">
        <v>72</v>
      </c>
      <c r="W211" t="s">
        <v>72</v>
      </c>
      <c r="X211" t="s">
        <v>72</v>
      </c>
      <c r="Y211">
        <v>0</v>
      </c>
      <c r="Z211">
        <v>0</v>
      </c>
      <c r="AC211" t="s">
        <v>73</v>
      </c>
      <c r="AD211" t="s">
        <v>72</v>
      </c>
      <c r="AE211" t="s">
        <v>72</v>
      </c>
      <c r="AF211" t="s">
        <v>72</v>
      </c>
      <c r="AG211">
        <v>0</v>
      </c>
      <c r="AH211">
        <v>0</v>
      </c>
      <c r="AK211" t="s">
        <v>73</v>
      </c>
      <c r="AL211" t="s">
        <v>72</v>
      </c>
      <c r="AM211" t="s">
        <v>72</v>
      </c>
      <c r="AN211" t="s">
        <v>72</v>
      </c>
      <c r="AO211">
        <v>0</v>
      </c>
      <c r="AP211">
        <v>0</v>
      </c>
      <c r="AS211" t="s">
        <v>73</v>
      </c>
      <c r="AT211" t="s">
        <v>72</v>
      </c>
      <c r="AU211" t="s">
        <v>72</v>
      </c>
      <c r="AV211" t="s">
        <v>72</v>
      </c>
      <c r="AY211">
        <v>0</v>
      </c>
    </row>
    <row r="212" spans="1:51" x14ac:dyDescent="0.2">
      <c r="A212" t="s">
        <v>923</v>
      </c>
      <c r="B212" t="s">
        <v>183</v>
      </c>
      <c r="C212" t="s">
        <v>184</v>
      </c>
      <c r="D212" t="s">
        <v>413</v>
      </c>
      <c r="E212" t="s">
        <v>414</v>
      </c>
      <c r="F212" t="s">
        <v>415</v>
      </c>
      <c r="G212" t="s">
        <v>919</v>
      </c>
      <c r="H212" t="s">
        <v>920</v>
      </c>
      <c r="I212" t="s">
        <v>924</v>
      </c>
      <c r="J212" t="s">
        <v>922</v>
      </c>
      <c r="K212" t="s">
        <v>72</v>
      </c>
      <c r="O212" t="s">
        <v>922</v>
      </c>
      <c r="Q212">
        <v>0</v>
      </c>
      <c r="R212">
        <v>0</v>
      </c>
      <c r="U212" t="s">
        <v>73</v>
      </c>
      <c r="V212" t="s">
        <v>72</v>
      </c>
      <c r="W212" t="s">
        <v>72</v>
      </c>
      <c r="X212" t="s">
        <v>72</v>
      </c>
      <c r="Y212">
        <v>0</v>
      </c>
      <c r="Z212">
        <v>0</v>
      </c>
      <c r="AC212" t="s">
        <v>73</v>
      </c>
      <c r="AD212" t="s">
        <v>72</v>
      </c>
      <c r="AE212" t="s">
        <v>72</v>
      </c>
      <c r="AF212" t="s">
        <v>72</v>
      </c>
      <c r="AG212">
        <v>0</v>
      </c>
      <c r="AH212">
        <v>0</v>
      </c>
      <c r="AK212" t="s">
        <v>73</v>
      </c>
      <c r="AL212" t="s">
        <v>72</v>
      </c>
      <c r="AM212" t="s">
        <v>72</v>
      </c>
      <c r="AN212" t="s">
        <v>72</v>
      </c>
      <c r="AO212">
        <v>0</v>
      </c>
      <c r="AP212">
        <v>0</v>
      </c>
      <c r="AS212" t="s">
        <v>73</v>
      </c>
      <c r="AT212" t="s">
        <v>72</v>
      </c>
      <c r="AU212" t="s">
        <v>72</v>
      </c>
      <c r="AV212" t="s">
        <v>72</v>
      </c>
      <c r="AY212">
        <v>0</v>
      </c>
    </row>
    <row r="213" spans="1:51" x14ac:dyDescent="0.2">
      <c r="A213" t="s">
        <v>925</v>
      </c>
      <c r="B213" t="s">
        <v>183</v>
      </c>
      <c r="C213" t="s">
        <v>184</v>
      </c>
      <c r="D213" t="s">
        <v>413</v>
      </c>
      <c r="E213" t="s">
        <v>414</v>
      </c>
      <c r="F213" t="s">
        <v>415</v>
      </c>
      <c r="G213" t="s">
        <v>919</v>
      </c>
      <c r="H213" t="s">
        <v>920</v>
      </c>
      <c r="I213" t="s">
        <v>926</v>
      </c>
      <c r="J213" t="s">
        <v>922</v>
      </c>
      <c r="K213" t="s">
        <v>72</v>
      </c>
      <c r="O213" t="s">
        <v>922</v>
      </c>
      <c r="Q213">
        <v>0</v>
      </c>
      <c r="R213">
        <v>0</v>
      </c>
      <c r="U213" t="s">
        <v>73</v>
      </c>
      <c r="V213" t="s">
        <v>72</v>
      </c>
      <c r="W213" t="s">
        <v>72</v>
      </c>
      <c r="X213" t="s">
        <v>72</v>
      </c>
      <c r="Y213">
        <v>0</v>
      </c>
      <c r="Z213">
        <v>0</v>
      </c>
      <c r="AC213" t="s">
        <v>73</v>
      </c>
      <c r="AD213" t="s">
        <v>72</v>
      </c>
      <c r="AE213" t="s">
        <v>72</v>
      </c>
      <c r="AF213" t="s">
        <v>72</v>
      </c>
      <c r="AG213">
        <v>0</v>
      </c>
      <c r="AH213">
        <v>0</v>
      </c>
      <c r="AK213" t="s">
        <v>73</v>
      </c>
      <c r="AL213" t="s">
        <v>72</v>
      </c>
      <c r="AM213" t="s">
        <v>72</v>
      </c>
      <c r="AN213" t="s">
        <v>72</v>
      </c>
      <c r="AO213">
        <v>0</v>
      </c>
      <c r="AP213">
        <v>0</v>
      </c>
      <c r="AS213" t="s">
        <v>73</v>
      </c>
      <c r="AT213" t="s">
        <v>72</v>
      </c>
      <c r="AU213" t="s">
        <v>72</v>
      </c>
      <c r="AV213" t="s">
        <v>72</v>
      </c>
      <c r="AY213">
        <v>0</v>
      </c>
    </row>
    <row r="214" spans="1:51" x14ac:dyDescent="0.2">
      <c r="A214" t="s">
        <v>927</v>
      </c>
      <c r="B214" t="s">
        <v>183</v>
      </c>
      <c r="C214" t="s">
        <v>184</v>
      </c>
      <c r="D214" t="s">
        <v>413</v>
      </c>
      <c r="E214" t="s">
        <v>414</v>
      </c>
      <c r="F214" t="s">
        <v>415</v>
      </c>
      <c r="G214" t="s">
        <v>919</v>
      </c>
      <c r="H214" t="s">
        <v>920</v>
      </c>
      <c r="I214" t="s">
        <v>928</v>
      </c>
      <c r="J214" t="s">
        <v>922</v>
      </c>
      <c r="K214" t="s">
        <v>72</v>
      </c>
      <c r="O214" t="s">
        <v>922</v>
      </c>
      <c r="Q214">
        <v>0</v>
      </c>
      <c r="R214">
        <v>0</v>
      </c>
      <c r="U214" t="s">
        <v>73</v>
      </c>
      <c r="V214" t="s">
        <v>72</v>
      </c>
      <c r="W214" t="s">
        <v>72</v>
      </c>
      <c r="X214" t="s">
        <v>72</v>
      </c>
      <c r="Y214">
        <v>0</v>
      </c>
      <c r="Z214">
        <v>0</v>
      </c>
      <c r="AC214" t="s">
        <v>73</v>
      </c>
      <c r="AD214" t="s">
        <v>72</v>
      </c>
      <c r="AE214" t="s">
        <v>72</v>
      </c>
      <c r="AF214" t="s">
        <v>72</v>
      </c>
      <c r="AG214">
        <v>0</v>
      </c>
      <c r="AH214">
        <v>0</v>
      </c>
      <c r="AK214" t="s">
        <v>73</v>
      </c>
      <c r="AL214" t="s">
        <v>72</v>
      </c>
      <c r="AM214" t="s">
        <v>72</v>
      </c>
      <c r="AN214" t="s">
        <v>72</v>
      </c>
      <c r="AO214">
        <v>0</v>
      </c>
      <c r="AP214">
        <v>0</v>
      </c>
      <c r="AS214" t="s">
        <v>73</v>
      </c>
      <c r="AT214" t="s">
        <v>72</v>
      </c>
      <c r="AU214" t="s">
        <v>72</v>
      </c>
      <c r="AV214" t="s">
        <v>72</v>
      </c>
      <c r="AY214">
        <v>0</v>
      </c>
    </row>
    <row r="215" spans="1:51" x14ac:dyDescent="0.2">
      <c r="A215" t="s">
        <v>929</v>
      </c>
      <c r="B215" t="s">
        <v>183</v>
      </c>
      <c r="C215" t="s">
        <v>184</v>
      </c>
      <c r="D215" t="s">
        <v>413</v>
      </c>
      <c r="E215" t="s">
        <v>414</v>
      </c>
      <c r="F215" t="s">
        <v>415</v>
      </c>
      <c r="G215" t="s">
        <v>919</v>
      </c>
      <c r="H215" t="s">
        <v>920</v>
      </c>
      <c r="I215" t="s">
        <v>930</v>
      </c>
      <c r="J215" t="s">
        <v>922</v>
      </c>
      <c r="K215" t="s">
        <v>72</v>
      </c>
      <c r="O215" t="s">
        <v>922</v>
      </c>
      <c r="Q215">
        <v>0</v>
      </c>
      <c r="R215">
        <v>0</v>
      </c>
      <c r="U215" t="s">
        <v>73</v>
      </c>
      <c r="V215" t="s">
        <v>72</v>
      </c>
      <c r="W215" t="s">
        <v>72</v>
      </c>
      <c r="X215" t="s">
        <v>72</v>
      </c>
      <c r="Y215">
        <v>0</v>
      </c>
      <c r="Z215">
        <v>0</v>
      </c>
      <c r="AC215" t="s">
        <v>73</v>
      </c>
      <c r="AD215" t="s">
        <v>72</v>
      </c>
      <c r="AE215" t="s">
        <v>72</v>
      </c>
      <c r="AF215" t="s">
        <v>72</v>
      </c>
      <c r="AG215">
        <v>0</v>
      </c>
      <c r="AH215">
        <v>0</v>
      </c>
      <c r="AK215" t="s">
        <v>73</v>
      </c>
      <c r="AL215" t="s">
        <v>72</v>
      </c>
      <c r="AM215" t="s">
        <v>72</v>
      </c>
      <c r="AN215" t="s">
        <v>72</v>
      </c>
      <c r="AO215">
        <v>0</v>
      </c>
      <c r="AP215">
        <v>0</v>
      </c>
      <c r="AS215" t="s">
        <v>73</v>
      </c>
      <c r="AT215" t="s">
        <v>72</v>
      </c>
      <c r="AU215" t="s">
        <v>72</v>
      </c>
      <c r="AV215" t="s">
        <v>72</v>
      </c>
      <c r="AY215">
        <v>0</v>
      </c>
    </row>
    <row r="216" spans="1:51" x14ac:dyDescent="0.2">
      <c r="A216" t="s">
        <v>931</v>
      </c>
      <c r="B216" t="s">
        <v>183</v>
      </c>
      <c r="C216" t="s">
        <v>184</v>
      </c>
      <c r="D216" t="s">
        <v>185</v>
      </c>
      <c r="E216" t="s">
        <v>186</v>
      </c>
      <c r="F216" t="s">
        <v>187</v>
      </c>
      <c r="G216" t="s">
        <v>281</v>
      </c>
      <c r="H216" t="s">
        <v>282</v>
      </c>
      <c r="I216" t="s">
        <v>932</v>
      </c>
      <c r="J216" t="s">
        <v>285</v>
      </c>
      <c r="K216" t="s">
        <v>72</v>
      </c>
      <c r="O216" t="s">
        <v>285</v>
      </c>
      <c r="Q216">
        <v>0</v>
      </c>
      <c r="R216">
        <v>0</v>
      </c>
      <c r="U216" t="s">
        <v>73</v>
      </c>
      <c r="V216" t="s">
        <v>72</v>
      </c>
      <c r="W216" t="s">
        <v>72</v>
      </c>
      <c r="X216" t="s">
        <v>72</v>
      </c>
      <c r="Y216">
        <v>0</v>
      </c>
      <c r="Z216">
        <v>0</v>
      </c>
      <c r="AC216" t="s">
        <v>73</v>
      </c>
      <c r="AD216" t="s">
        <v>72</v>
      </c>
      <c r="AE216" t="s">
        <v>72</v>
      </c>
      <c r="AF216" t="s">
        <v>72</v>
      </c>
      <c r="AG216">
        <v>0</v>
      </c>
      <c r="AH216">
        <v>0</v>
      </c>
      <c r="AK216" t="s">
        <v>73</v>
      </c>
      <c r="AL216" t="s">
        <v>72</v>
      </c>
      <c r="AM216" t="s">
        <v>72</v>
      </c>
      <c r="AN216" t="s">
        <v>72</v>
      </c>
      <c r="AO216">
        <v>0</v>
      </c>
      <c r="AP216">
        <v>0</v>
      </c>
      <c r="AS216" t="s">
        <v>73</v>
      </c>
      <c r="AT216" t="s">
        <v>72</v>
      </c>
      <c r="AU216" t="s">
        <v>72</v>
      </c>
      <c r="AV216" t="s">
        <v>72</v>
      </c>
      <c r="AY216">
        <v>0</v>
      </c>
    </row>
    <row r="217" spans="1:51" x14ac:dyDescent="0.2">
      <c r="A217" t="s">
        <v>933</v>
      </c>
      <c r="B217" t="s">
        <v>183</v>
      </c>
      <c r="C217" t="s">
        <v>184</v>
      </c>
      <c r="D217" t="s">
        <v>185</v>
      </c>
      <c r="E217" t="s">
        <v>186</v>
      </c>
      <c r="F217" t="s">
        <v>187</v>
      </c>
      <c r="G217" t="s">
        <v>281</v>
      </c>
      <c r="H217" t="s">
        <v>282</v>
      </c>
      <c r="I217" t="s">
        <v>934</v>
      </c>
      <c r="J217" t="s">
        <v>285</v>
      </c>
      <c r="K217" t="s">
        <v>72</v>
      </c>
      <c r="O217" t="s">
        <v>285</v>
      </c>
      <c r="Q217">
        <v>0</v>
      </c>
      <c r="R217">
        <v>0</v>
      </c>
      <c r="U217" t="s">
        <v>73</v>
      </c>
      <c r="V217" t="s">
        <v>72</v>
      </c>
      <c r="W217" t="s">
        <v>72</v>
      </c>
      <c r="X217" t="s">
        <v>72</v>
      </c>
      <c r="Y217">
        <v>0</v>
      </c>
      <c r="Z217">
        <v>0</v>
      </c>
      <c r="AC217" t="s">
        <v>73</v>
      </c>
      <c r="AD217" t="s">
        <v>72</v>
      </c>
      <c r="AE217" t="s">
        <v>72</v>
      </c>
      <c r="AF217" t="s">
        <v>72</v>
      </c>
      <c r="AG217">
        <v>0</v>
      </c>
      <c r="AH217">
        <v>0</v>
      </c>
      <c r="AK217" t="s">
        <v>73</v>
      </c>
      <c r="AL217" t="s">
        <v>72</v>
      </c>
      <c r="AM217" t="s">
        <v>72</v>
      </c>
      <c r="AN217" t="s">
        <v>72</v>
      </c>
      <c r="AO217">
        <v>0</v>
      </c>
      <c r="AP217">
        <v>0</v>
      </c>
      <c r="AS217" t="s">
        <v>73</v>
      </c>
      <c r="AT217" t="s">
        <v>72</v>
      </c>
      <c r="AU217" t="s">
        <v>72</v>
      </c>
      <c r="AV217" t="s">
        <v>72</v>
      </c>
      <c r="AY217">
        <v>0</v>
      </c>
    </row>
    <row r="218" spans="1:51" x14ac:dyDescent="0.2">
      <c r="A218" t="s">
        <v>935</v>
      </c>
      <c r="B218" t="s">
        <v>183</v>
      </c>
      <c r="C218" t="s">
        <v>184</v>
      </c>
      <c r="D218" t="s">
        <v>185</v>
      </c>
      <c r="E218" t="s">
        <v>186</v>
      </c>
      <c r="F218" t="s">
        <v>187</v>
      </c>
      <c r="G218" t="s">
        <v>281</v>
      </c>
      <c r="H218" t="s">
        <v>282</v>
      </c>
      <c r="I218" t="s">
        <v>936</v>
      </c>
      <c r="J218" t="s">
        <v>285</v>
      </c>
      <c r="K218" t="s">
        <v>72</v>
      </c>
      <c r="O218" t="s">
        <v>285</v>
      </c>
      <c r="Q218">
        <v>0</v>
      </c>
      <c r="R218">
        <v>0</v>
      </c>
      <c r="U218" t="s">
        <v>73</v>
      </c>
      <c r="V218" t="s">
        <v>72</v>
      </c>
      <c r="W218" t="s">
        <v>72</v>
      </c>
      <c r="X218" t="s">
        <v>72</v>
      </c>
      <c r="Y218">
        <v>0</v>
      </c>
      <c r="Z218">
        <v>0</v>
      </c>
      <c r="AC218" t="s">
        <v>73</v>
      </c>
      <c r="AD218" t="s">
        <v>72</v>
      </c>
      <c r="AE218" t="s">
        <v>72</v>
      </c>
      <c r="AF218" t="s">
        <v>72</v>
      </c>
      <c r="AG218">
        <v>0</v>
      </c>
      <c r="AH218">
        <v>0</v>
      </c>
      <c r="AK218" t="s">
        <v>73</v>
      </c>
      <c r="AL218" t="s">
        <v>72</v>
      </c>
      <c r="AM218" t="s">
        <v>72</v>
      </c>
      <c r="AN218" t="s">
        <v>72</v>
      </c>
      <c r="AO218">
        <v>0</v>
      </c>
      <c r="AP218">
        <v>0</v>
      </c>
      <c r="AS218" t="s">
        <v>73</v>
      </c>
      <c r="AT218" t="s">
        <v>72</v>
      </c>
      <c r="AU218" t="s">
        <v>72</v>
      </c>
      <c r="AV218" t="s">
        <v>72</v>
      </c>
      <c r="AY218">
        <v>0</v>
      </c>
    </row>
    <row r="219" spans="1:51" x14ac:dyDescent="0.2">
      <c r="A219" t="s">
        <v>937</v>
      </c>
      <c r="B219" t="s">
        <v>183</v>
      </c>
      <c r="C219" t="s">
        <v>184</v>
      </c>
      <c r="D219" t="s">
        <v>185</v>
      </c>
      <c r="E219" t="s">
        <v>186</v>
      </c>
      <c r="F219" t="s">
        <v>187</v>
      </c>
      <c r="G219" t="s">
        <v>281</v>
      </c>
      <c r="H219" t="s">
        <v>282</v>
      </c>
      <c r="I219" t="s">
        <v>938</v>
      </c>
      <c r="J219" t="s">
        <v>285</v>
      </c>
      <c r="K219" t="s">
        <v>72</v>
      </c>
      <c r="O219" t="s">
        <v>285</v>
      </c>
      <c r="Q219">
        <v>0</v>
      </c>
      <c r="R219">
        <v>0</v>
      </c>
      <c r="U219" t="s">
        <v>73</v>
      </c>
      <c r="V219" t="s">
        <v>72</v>
      </c>
      <c r="W219" t="s">
        <v>72</v>
      </c>
      <c r="X219" t="s">
        <v>72</v>
      </c>
      <c r="Y219">
        <v>0</v>
      </c>
      <c r="Z219">
        <v>0</v>
      </c>
      <c r="AC219" t="s">
        <v>73</v>
      </c>
      <c r="AD219" t="s">
        <v>72</v>
      </c>
      <c r="AE219" t="s">
        <v>72</v>
      </c>
      <c r="AF219" t="s">
        <v>72</v>
      </c>
      <c r="AG219">
        <v>0</v>
      </c>
      <c r="AH219">
        <v>0</v>
      </c>
      <c r="AK219" t="s">
        <v>73</v>
      </c>
      <c r="AL219" t="s">
        <v>72</v>
      </c>
      <c r="AM219" t="s">
        <v>72</v>
      </c>
      <c r="AN219" t="s">
        <v>72</v>
      </c>
      <c r="AO219">
        <v>0</v>
      </c>
      <c r="AP219">
        <v>0</v>
      </c>
      <c r="AS219" t="s">
        <v>73</v>
      </c>
      <c r="AT219" t="s">
        <v>72</v>
      </c>
      <c r="AU219" t="s">
        <v>72</v>
      </c>
      <c r="AV219" t="s">
        <v>72</v>
      </c>
      <c r="AY219">
        <v>0</v>
      </c>
    </row>
    <row r="220" spans="1:51" x14ac:dyDescent="0.2">
      <c r="A220" t="s">
        <v>939</v>
      </c>
      <c r="B220" t="s">
        <v>183</v>
      </c>
      <c r="C220" t="s">
        <v>184</v>
      </c>
      <c r="D220" t="s">
        <v>185</v>
      </c>
      <c r="E220" t="s">
        <v>186</v>
      </c>
      <c r="F220" t="s">
        <v>187</v>
      </c>
      <c r="G220" t="s">
        <v>281</v>
      </c>
      <c r="H220" t="s">
        <v>282</v>
      </c>
      <c r="I220" t="s">
        <v>940</v>
      </c>
      <c r="J220" t="s">
        <v>285</v>
      </c>
      <c r="K220" t="s">
        <v>72</v>
      </c>
      <c r="O220" t="s">
        <v>285</v>
      </c>
      <c r="Q220">
        <v>0</v>
      </c>
      <c r="R220">
        <v>0</v>
      </c>
      <c r="U220" t="s">
        <v>73</v>
      </c>
      <c r="V220" t="s">
        <v>72</v>
      </c>
      <c r="W220" t="s">
        <v>72</v>
      </c>
      <c r="X220" t="s">
        <v>72</v>
      </c>
      <c r="Y220">
        <v>0</v>
      </c>
      <c r="Z220">
        <v>0</v>
      </c>
      <c r="AC220" t="s">
        <v>73</v>
      </c>
      <c r="AD220" t="s">
        <v>72</v>
      </c>
      <c r="AE220" t="s">
        <v>72</v>
      </c>
      <c r="AF220" t="s">
        <v>72</v>
      </c>
      <c r="AG220">
        <v>0</v>
      </c>
      <c r="AH220">
        <v>0</v>
      </c>
      <c r="AK220" t="s">
        <v>73</v>
      </c>
      <c r="AL220" t="s">
        <v>72</v>
      </c>
      <c r="AM220" t="s">
        <v>72</v>
      </c>
      <c r="AN220" t="s">
        <v>72</v>
      </c>
      <c r="AO220">
        <v>0</v>
      </c>
      <c r="AP220">
        <v>0</v>
      </c>
      <c r="AS220" t="s">
        <v>73</v>
      </c>
      <c r="AT220" t="s">
        <v>72</v>
      </c>
      <c r="AU220" t="s">
        <v>72</v>
      </c>
      <c r="AV220" t="s">
        <v>72</v>
      </c>
      <c r="AY220">
        <v>0</v>
      </c>
    </row>
    <row r="221" spans="1:51" x14ac:dyDescent="0.2">
      <c r="A221" t="s">
        <v>941</v>
      </c>
      <c r="B221" t="s">
        <v>183</v>
      </c>
      <c r="C221" t="s">
        <v>184</v>
      </c>
      <c r="D221" t="s">
        <v>185</v>
      </c>
      <c r="E221" t="s">
        <v>186</v>
      </c>
      <c r="F221" t="s">
        <v>187</v>
      </c>
      <c r="G221" t="s">
        <v>942</v>
      </c>
      <c r="H221" t="s">
        <v>943</v>
      </c>
      <c r="I221" t="s">
        <v>944</v>
      </c>
      <c r="J221" t="s">
        <v>945</v>
      </c>
      <c r="K221" t="s">
        <v>72</v>
      </c>
      <c r="O221" t="s">
        <v>945</v>
      </c>
      <c r="Q221">
        <v>0</v>
      </c>
      <c r="R221">
        <v>0</v>
      </c>
      <c r="U221" t="s">
        <v>73</v>
      </c>
      <c r="V221" t="s">
        <v>72</v>
      </c>
      <c r="W221" t="s">
        <v>72</v>
      </c>
      <c r="X221" t="s">
        <v>72</v>
      </c>
      <c r="Y221">
        <v>0</v>
      </c>
      <c r="Z221">
        <v>0</v>
      </c>
      <c r="AC221" t="s">
        <v>73</v>
      </c>
      <c r="AD221" t="s">
        <v>72</v>
      </c>
      <c r="AE221" t="s">
        <v>72</v>
      </c>
      <c r="AF221" t="s">
        <v>72</v>
      </c>
      <c r="AG221">
        <v>0</v>
      </c>
      <c r="AH221">
        <v>0</v>
      </c>
      <c r="AK221" t="s">
        <v>73</v>
      </c>
      <c r="AL221" t="s">
        <v>72</v>
      </c>
      <c r="AM221" t="s">
        <v>72</v>
      </c>
      <c r="AN221" t="s">
        <v>72</v>
      </c>
      <c r="AO221">
        <v>0</v>
      </c>
      <c r="AP221">
        <v>0</v>
      </c>
      <c r="AS221" t="s">
        <v>73</v>
      </c>
      <c r="AT221" t="s">
        <v>72</v>
      </c>
      <c r="AU221" t="s">
        <v>72</v>
      </c>
      <c r="AV221" t="s">
        <v>72</v>
      </c>
      <c r="AY221">
        <v>0</v>
      </c>
    </row>
    <row r="222" spans="1:51" x14ac:dyDescent="0.2">
      <c r="A222" t="s">
        <v>946</v>
      </c>
      <c r="B222" t="s">
        <v>183</v>
      </c>
      <c r="C222" t="s">
        <v>184</v>
      </c>
      <c r="D222" t="s">
        <v>185</v>
      </c>
      <c r="E222" t="s">
        <v>186</v>
      </c>
      <c r="F222" t="s">
        <v>187</v>
      </c>
      <c r="G222" t="s">
        <v>942</v>
      </c>
      <c r="H222" t="s">
        <v>943</v>
      </c>
      <c r="I222" t="s">
        <v>947</v>
      </c>
      <c r="J222" t="s">
        <v>945</v>
      </c>
      <c r="K222" t="s">
        <v>72</v>
      </c>
      <c r="O222" t="s">
        <v>945</v>
      </c>
      <c r="Q222">
        <v>0</v>
      </c>
      <c r="R222">
        <v>0</v>
      </c>
      <c r="U222" t="s">
        <v>73</v>
      </c>
      <c r="V222" t="s">
        <v>72</v>
      </c>
      <c r="W222" t="s">
        <v>72</v>
      </c>
      <c r="X222" t="s">
        <v>72</v>
      </c>
      <c r="Y222">
        <v>0</v>
      </c>
      <c r="Z222">
        <v>0</v>
      </c>
      <c r="AC222" t="s">
        <v>73</v>
      </c>
      <c r="AD222" t="s">
        <v>72</v>
      </c>
      <c r="AE222" t="s">
        <v>72</v>
      </c>
      <c r="AF222" t="s">
        <v>72</v>
      </c>
      <c r="AG222">
        <v>0</v>
      </c>
      <c r="AH222">
        <v>0</v>
      </c>
      <c r="AK222" t="s">
        <v>73</v>
      </c>
      <c r="AL222" t="s">
        <v>72</v>
      </c>
      <c r="AM222" t="s">
        <v>72</v>
      </c>
      <c r="AN222" t="s">
        <v>72</v>
      </c>
      <c r="AO222">
        <v>0</v>
      </c>
      <c r="AP222">
        <v>0</v>
      </c>
      <c r="AS222" t="s">
        <v>73</v>
      </c>
      <c r="AT222" t="s">
        <v>72</v>
      </c>
      <c r="AU222" t="s">
        <v>72</v>
      </c>
      <c r="AV222" t="s">
        <v>72</v>
      </c>
      <c r="AY222">
        <v>0</v>
      </c>
    </row>
    <row r="223" spans="1:51" x14ac:dyDescent="0.2">
      <c r="A223" t="s">
        <v>948</v>
      </c>
      <c r="B223" t="s">
        <v>183</v>
      </c>
      <c r="C223" t="s">
        <v>184</v>
      </c>
      <c r="D223" t="s">
        <v>185</v>
      </c>
      <c r="E223" t="s">
        <v>186</v>
      </c>
      <c r="F223" t="s">
        <v>187</v>
      </c>
      <c r="G223" t="s">
        <v>942</v>
      </c>
      <c r="H223" t="s">
        <v>943</v>
      </c>
      <c r="I223" t="s">
        <v>949</v>
      </c>
      <c r="J223" t="s">
        <v>945</v>
      </c>
      <c r="K223" t="s">
        <v>72</v>
      </c>
      <c r="O223" t="s">
        <v>945</v>
      </c>
      <c r="Q223">
        <v>0</v>
      </c>
      <c r="R223">
        <v>0</v>
      </c>
      <c r="U223" t="s">
        <v>73</v>
      </c>
      <c r="V223" t="s">
        <v>72</v>
      </c>
      <c r="W223" t="s">
        <v>72</v>
      </c>
      <c r="X223" t="s">
        <v>72</v>
      </c>
      <c r="Y223">
        <v>0</v>
      </c>
      <c r="Z223">
        <v>0</v>
      </c>
      <c r="AC223" t="s">
        <v>73</v>
      </c>
      <c r="AD223" t="s">
        <v>72</v>
      </c>
      <c r="AE223" t="s">
        <v>72</v>
      </c>
      <c r="AF223" t="s">
        <v>72</v>
      </c>
      <c r="AG223">
        <v>0</v>
      </c>
      <c r="AH223">
        <v>0</v>
      </c>
      <c r="AK223" t="s">
        <v>73</v>
      </c>
      <c r="AL223" t="s">
        <v>72</v>
      </c>
      <c r="AM223" t="s">
        <v>72</v>
      </c>
      <c r="AN223" t="s">
        <v>72</v>
      </c>
      <c r="AO223">
        <v>0</v>
      </c>
      <c r="AP223">
        <v>0</v>
      </c>
      <c r="AS223" t="s">
        <v>73</v>
      </c>
      <c r="AT223" t="s">
        <v>72</v>
      </c>
      <c r="AU223" t="s">
        <v>72</v>
      </c>
      <c r="AV223" t="s">
        <v>72</v>
      </c>
      <c r="AY223">
        <v>0</v>
      </c>
    </row>
    <row r="224" spans="1:51" x14ac:dyDescent="0.2">
      <c r="A224" t="s">
        <v>950</v>
      </c>
      <c r="B224" t="s">
        <v>183</v>
      </c>
      <c r="C224" t="s">
        <v>184</v>
      </c>
      <c r="D224" t="s">
        <v>185</v>
      </c>
      <c r="E224" t="s">
        <v>186</v>
      </c>
      <c r="F224" t="s">
        <v>187</v>
      </c>
      <c r="G224" t="s">
        <v>951</v>
      </c>
      <c r="H224" t="s">
        <v>952</v>
      </c>
      <c r="I224" t="s">
        <v>953</v>
      </c>
      <c r="J224" t="s">
        <v>954</v>
      </c>
      <c r="K224" t="s">
        <v>72</v>
      </c>
      <c r="O224" t="s">
        <v>954</v>
      </c>
      <c r="Q224">
        <v>0</v>
      </c>
      <c r="R224">
        <v>0</v>
      </c>
      <c r="U224" t="s">
        <v>73</v>
      </c>
      <c r="V224" t="s">
        <v>72</v>
      </c>
      <c r="W224" t="s">
        <v>72</v>
      </c>
      <c r="X224" t="s">
        <v>72</v>
      </c>
      <c r="Y224">
        <v>0</v>
      </c>
      <c r="Z224">
        <v>0</v>
      </c>
      <c r="AC224" t="s">
        <v>73</v>
      </c>
      <c r="AD224" t="s">
        <v>72</v>
      </c>
      <c r="AE224" t="s">
        <v>72</v>
      </c>
      <c r="AF224" t="s">
        <v>72</v>
      </c>
      <c r="AG224">
        <v>0</v>
      </c>
      <c r="AH224">
        <v>0</v>
      </c>
      <c r="AK224" t="s">
        <v>73</v>
      </c>
      <c r="AL224" t="s">
        <v>72</v>
      </c>
      <c r="AM224" t="s">
        <v>72</v>
      </c>
      <c r="AN224" t="s">
        <v>72</v>
      </c>
      <c r="AO224">
        <v>0</v>
      </c>
      <c r="AP224">
        <v>0</v>
      </c>
      <c r="AS224" t="s">
        <v>73</v>
      </c>
      <c r="AT224" t="s">
        <v>72</v>
      </c>
      <c r="AU224" t="s">
        <v>72</v>
      </c>
      <c r="AV224" t="s">
        <v>72</v>
      </c>
      <c r="AY224">
        <v>0</v>
      </c>
    </row>
    <row r="225" spans="1:51" x14ac:dyDescent="0.2">
      <c r="A225" t="s">
        <v>955</v>
      </c>
      <c r="B225" t="s">
        <v>183</v>
      </c>
      <c r="C225" t="s">
        <v>184</v>
      </c>
      <c r="D225" t="s">
        <v>185</v>
      </c>
      <c r="E225" t="s">
        <v>186</v>
      </c>
      <c r="F225" t="s">
        <v>187</v>
      </c>
      <c r="G225" t="s">
        <v>951</v>
      </c>
      <c r="H225" t="s">
        <v>952</v>
      </c>
      <c r="I225" t="s">
        <v>956</v>
      </c>
      <c r="J225" t="s">
        <v>954</v>
      </c>
      <c r="K225" t="s">
        <v>72</v>
      </c>
      <c r="O225" t="s">
        <v>954</v>
      </c>
      <c r="Q225">
        <v>0</v>
      </c>
      <c r="R225">
        <v>0</v>
      </c>
      <c r="U225" t="s">
        <v>73</v>
      </c>
      <c r="V225" t="s">
        <v>72</v>
      </c>
      <c r="W225" t="s">
        <v>72</v>
      </c>
      <c r="X225" t="s">
        <v>72</v>
      </c>
      <c r="Y225">
        <v>0</v>
      </c>
      <c r="Z225">
        <v>0</v>
      </c>
      <c r="AC225" t="s">
        <v>73</v>
      </c>
      <c r="AD225" t="s">
        <v>72</v>
      </c>
      <c r="AE225" t="s">
        <v>72</v>
      </c>
      <c r="AF225" t="s">
        <v>72</v>
      </c>
      <c r="AG225">
        <v>0</v>
      </c>
      <c r="AH225">
        <v>0</v>
      </c>
      <c r="AK225" t="s">
        <v>73</v>
      </c>
      <c r="AL225" t="s">
        <v>72</v>
      </c>
      <c r="AM225" t="s">
        <v>72</v>
      </c>
      <c r="AN225" t="s">
        <v>72</v>
      </c>
      <c r="AO225">
        <v>0</v>
      </c>
      <c r="AP225">
        <v>0</v>
      </c>
      <c r="AS225" t="s">
        <v>73</v>
      </c>
      <c r="AT225" t="s">
        <v>72</v>
      </c>
      <c r="AU225" t="s">
        <v>72</v>
      </c>
      <c r="AV225" t="s">
        <v>72</v>
      </c>
      <c r="AY225">
        <v>0</v>
      </c>
    </row>
    <row r="226" spans="1:51" x14ac:dyDescent="0.2">
      <c r="A226" t="s">
        <v>957</v>
      </c>
      <c r="B226" t="s">
        <v>183</v>
      </c>
      <c r="C226" t="s">
        <v>184</v>
      </c>
      <c r="D226" t="s">
        <v>185</v>
      </c>
      <c r="E226" t="s">
        <v>186</v>
      </c>
      <c r="F226" t="s">
        <v>187</v>
      </c>
      <c r="G226" t="s">
        <v>951</v>
      </c>
      <c r="H226" t="s">
        <v>952</v>
      </c>
      <c r="I226" t="s">
        <v>958</v>
      </c>
      <c r="J226" t="s">
        <v>954</v>
      </c>
      <c r="K226" t="s">
        <v>72</v>
      </c>
      <c r="O226" t="s">
        <v>954</v>
      </c>
      <c r="Q226">
        <v>0</v>
      </c>
      <c r="R226">
        <v>0</v>
      </c>
      <c r="U226" t="s">
        <v>73</v>
      </c>
      <c r="V226" t="s">
        <v>72</v>
      </c>
      <c r="W226" t="s">
        <v>72</v>
      </c>
      <c r="X226" t="s">
        <v>72</v>
      </c>
      <c r="Y226">
        <v>0</v>
      </c>
      <c r="Z226">
        <v>0</v>
      </c>
      <c r="AC226" t="s">
        <v>73</v>
      </c>
      <c r="AD226" t="s">
        <v>72</v>
      </c>
      <c r="AE226" t="s">
        <v>72</v>
      </c>
      <c r="AF226" t="s">
        <v>72</v>
      </c>
      <c r="AG226">
        <v>0</v>
      </c>
      <c r="AH226">
        <v>0</v>
      </c>
      <c r="AK226" t="s">
        <v>73</v>
      </c>
      <c r="AL226" t="s">
        <v>72</v>
      </c>
      <c r="AM226" t="s">
        <v>72</v>
      </c>
      <c r="AN226" t="s">
        <v>72</v>
      </c>
      <c r="AO226">
        <v>0</v>
      </c>
      <c r="AP226">
        <v>0</v>
      </c>
      <c r="AS226" t="s">
        <v>73</v>
      </c>
      <c r="AT226" t="s">
        <v>72</v>
      </c>
      <c r="AU226" t="s">
        <v>72</v>
      </c>
      <c r="AV226" t="s">
        <v>72</v>
      </c>
      <c r="AY226">
        <v>0</v>
      </c>
    </row>
    <row r="227" spans="1:51" x14ac:dyDescent="0.2">
      <c r="A227" t="s">
        <v>959</v>
      </c>
      <c r="B227" t="s">
        <v>183</v>
      </c>
      <c r="C227" t="s">
        <v>184</v>
      </c>
      <c r="D227" t="s">
        <v>185</v>
      </c>
      <c r="E227" t="s">
        <v>186</v>
      </c>
      <c r="F227" t="s">
        <v>187</v>
      </c>
      <c r="G227" t="s">
        <v>960</v>
      </c>
      <c r="H227" t="s">
        <v>961</v>
      </c>
      <c r="I227" t="s">
        <v>962</v>
      </c>
      <c r="J227" t="s">
        <v>963</v>
      </c>
      <c r="K227" t="s">
        <v>72</v>
      </c>
      <c r="O227" t="s">
        <v>963</v>
      </c>
      <c r="Q227">
        <v>0</v>
      </c>
      <c r="R227">
        <v>0</v>
      </c>
      <c r="U227" t="s">
        <v>73</v>
      </c>
      <c r="V227" t="s">
        <v>72</v>
      </c>
      <c r="W227" t="s">
        <v>72</v>
      </c>
      <c r="X227" t="s">
        <v>72</v>
      </c>
      <c r="Y227">
        <v>0</v>
      </c>
      <c r="Z227">
        <v>0</v>
      </c>
      <c r="AC227" t="s">
        <v>73</v>
      </c>
      <c r="AD227" t="s">
        <v>72</v>
      </c>
      <c r="AE227" t="s">
        <v>72</v>
      </c>
      <c r="AF227" t="s">
        <v>72</v>
      </c>
      <c r="AG227">
        <v>0</v>
      </c>
      <c r="AH227">
        <v>0</v>
      </c>
      <c r="AK227" t="s">
        <v>73</v>
      </c>
      <c r="AL227" t="s">
        <v>72</v>
      </c>
      <c r="AM227" t="s">
        <v>72</v>
      </c>
      <c r="AN227" t="s">
        <v>72</v>
      </c>
      <c r="AO227">
        <v>0</v>
      </c>
      <c r="AP227">
        <v>0</v>
      </c>
      <c r="AS227" t="s">
        <v>73</v>
      </c>
      <c r="AT227" t="s">
        <v>72</v>
      </c>
      <c r="AU227" t="s">
        <v>72</v>
      </c>
      <c r="AV227" t="s">
        <v>72</v>
      </c>
      <c r="AY227">
        <v>0</v>
      </c>
    </row>
    <row r="228" spans="1:51" x14ac:dyDescent="0.2">
      <c r="A228" t="s">
        <v>964</v>
      </c>
      <c r="B228" t="s">
        <v>183</v>
      </c>
      <c r="C228" t="s">
        <v>184</v>
      </c>
      <c r="D228" t="s">
        <v>185</v>
      </c>
      <c r="E228" t="s">
        <v>186</v>
      </c>
      <c r="F228" t="s">
        <v>187</v>
      </c>
      <c r="G228" t="s">
        <v>960</v>
      </c>
      <c r="H228" t="s">
        <v>961</v>
      </c>
      <c r="I228" t="s">
        <v>965</v>
      </c>
      <c r="J228" t="s">
        <v>963</v>
      </c>
      <c r="K228" t="s">
        <v>72</v>
      </c>
      <c r="O228" t="s">
        <v>963</v>
      </c>
      <c r="Q228">
        <v>0</v>
      </c>
      <c r="R228">
        <v>0</v>
      </c>
      <c r="U228" t="s">
        <v>73</v>
      </c>
      <c r="V228" t="s">
        <v>72</v>
      </c>
      <c r="W228" t="s">
        <v>72</v>
      </c>
      <c r="X228" t="s">
        <v>72</v>
      </c>
      <c r="Y228">
        <v>0</v>
      </c>
      <c r="Z228">
        <v>0</v>
      </c>
      <c r="AC228" t="s">
        <v>73</v>
      </c>
      <c r="AD228" t="s">
        <v>72</v>
      </c>
      <c r="AE228" t="s">
        <v>72</v>
      </c>
      <c r="AF228" t="s">
        <v>72</v>
      </c>
      <c r="AG228">
        <v>0</v>
      </c>
      <c r="AH228">
        <v>0</v>
      </c>
      <c r="AK228" t="s">
        <v>73</v>
      </c>
      <c r="AL228" t="s">
        <v>72</v>
      </c>
      <c r="AM228" t="s">
        <v>72</v>
      </c>
      <c r="AN228" t="s">
        <v>72</v>
      </c>
      <c r="AO228">
        <v>0</v>
      </c>
      <c r="AP228">
        <v>0</v>
      </c>
      <c r="AS228" t="s">
        <v>73</v>
      </c>
      <c r="AT228" t="s">
        <v>72</v>
      </c>
      <c r="AU228" t="s">
        <v>72</v>
      </c>
      <c r="AV228" t="s">
        <v>72</v>
      </c>
      <c r="AY228">
        <v>0</v>
      </c>
    </row>
    <row r="229" spans="1:51" x14ac:dyDescent="0.2">
      <c r="A229" t="s">
        <v>966</v>
      </c>
      <c r="B229" t="s">
        <v>183</v>
      </c>
      <c r="C229" t="s">
        <v>184</v>
      </c>
      <c r="D229" t="s">
        <v>185</v>
      </c>
      <c r="E229" t="s">
        <v>186</v>
      </c>
      <c r="F229" t="s">
        <v>187</v>
      </c>
      <c r="G229" t="s">
        <v>960</v>
      </c>
      <c r="H229" t="s">
        <v>961</v>
      </c>
      <c r="I229" t="s">
        <v>967</v>
      </c>
      <c r="J229" t="s">
        <v>963</v>
      </c>
      <c r="K229" t="s">
        <v>72</v>
      </c>
      <c r="O229" t="s">
        <v>963</v>
      </c>
      <c r="Q229">
        <v>0</v>
      </c>
      <c r="R229">
        <v>0</v>
      </c>
      <c r="U229" t="s">
        <v>73</v>
      </c>
      <c r="V229" t="s">
        <v>72</v>
      </c>
      <c r="W229" t="s">
        <v>72</v>
      </c>
      <c r="X229" t="s">
        <v>72</v>
      </c>
      <c r="Y229">
        <v>0</v>
      </c>
      <c r="Z229">
        <v>0</v>
      </c>
      <c r="AC229" t="s">
        <v>73</v>
      </c>
      <c r="AD229" t="s">
        <v>72</v>
      </c>
      <c r="AE229" t="s">
        <v>72</v>
      </c>
      <c r="AF229" t="s">
        <v>72</v>
      </c>
      <c r="AG229">
        <v>0</v>
      </c>
      <c r="AH229">
        <v>0</v>
      </c>
      <c r="AK229" t="s">
        <v>73</v>
      </c>
      <c r="AL229" t="s">
        <v>72</v>
      </c>
      <c r="AM229" t="s">
        <v>72</v>
      </c>
      <c r="AN229" t="s">
        <v>72</v>
      </c>
      <c r="AO229">
        <v>0</v>
      </c>
      <c r="AP229">
        <v>0</v>
      </c>
      <c r="AS229" t="s">
        <v>73</v>
      </c>
      <c r="AT229" t="s">
        <v>72</v>
      </c>
      <c r="AU229" t="s">
        <v>72</v>
      </c>
      <c r="AV229" t="s">
        <v>72</v>
      </c>
      <c r="AY229">
        <v>0</v>
      </c>
    </row>
    <row r="230" spans="1:51" x14ac:dyDescent="0.2">
      <c r="A230" t="s">
        <v>968</v>
      </c>
      <c r="B230" t="s">
        <v>183</v>
      </c>
      <c r="C230" t="s">
        <v>184</v>
      </c>
      <c r="D230" t="s">
        <v>185</v>
      </c>
      <c r="E230" t="s">
        <v>186</v>
      </c>
      <c r="F230" t="s">
        <v>187</v>
      </c>
      <c r="G230" t="s">
        <v>969</v>
      </c>
      <c r="H230" t="s">
        <v>970</v>
      </c>
      <c r="I230" t="s">
        <v>971</v>
      </c>
      <c r="J230" t="s">
        <v>972</v>
      </c>
      <c r="K230" t="s">
        <v>72</v>
      </c>
      <c r="O230" t="s">
        <v>972</v>
      </c>
      <c r="Q230">
        <v>0</v>
      </c>
      <c r="R230">
        <v>0</v>
      </c>
      <c r="U230" t="s">
        <v>73</v>
      </c>
      <c r="V230" t="s">
        <v>72</v>
      </c>
      <c r="W230" t="s">
        <v>72</v>
      </c>
      <c r="X230" t="s">
        <v>72</v>
      </c>
      <c r="Y230">
        <v>0</v>
      </c>
      <c r="Z230">
        <v>0</v>
      </c>
      <c r="AC230" t="s">
        <v>73</v>
      </c>
      <c r="AD230" t="s">
        <v>72</v>
      </c>
      <c r="AE230" t="s">
        <v>72</v>
      </c>
      <c r="AF230" t="s">
        <v>72</v>
      </c>
      <c r="AG230">
        <v>0</v>
      </c>
      <c r="AH230">
        <v>0</v>
      </c>
      <c r="AK230" t="s">
        <v>73</v>
      </c>
      <c r="AL230" t="s">
        <v>72</v>
      </c>
      <c r="AM230" t="s">
        <v>72</v>
      </c>
      <c r="AN230" t="s">
        <v>72</v>
      </c>
      <c r="AO230">
        <v>0</v>
      </c>
      <c r="AP230">
        <v>0</v>
      </c>
      <c r="AS230" t="s">
        <v>73</v>
      </c>
      <c r="AT230" t="s">
        <v>72</v>
      </c>
      <c r="AU230" t="s">
        <v>72</v>
      </c>
      <c r="AV230" t="s">
        <v>72</v>
      </c>
      <c r="AY230">
        <v>0</v>
      </c>
    </row>
    <row r="231" spans="1:51" x14ac:dyDescent="0.2">
      <c r="A231" t="s">
        <v>973</v>
      </c>
      <c r="B231" t="s">
        <v>183</v>
      </c>
      <c r="C231" t="s">
        <v>184</v>
      </c>
      <c r="D231" t="s">
        <v>185</v>
      </c>
      <c r="E231" t="s">
        <v>186</v>
      </c>
      <c r="F231" t="s">
        <v>187</v>
      </c>
      <c r="G231" t="s">
        <v>969</v>
      </c>
      <c r="H231" t="s">
        <v>970</v>
      </c>
      <c r="I231" t="s">
        <v>974</v>
      </c>
      <c r="J231" t="s">
        <v>972</v>
      </c>
      <c r="K231" t="s">
        <v>72</v>
      </c>
      <c r="O231" t="s">
        <v>972</v>
      </c>
      <c r="Q231">
        <v>0</v>
      </c>
      <c r="R231">
        <v>0</v>
      </c>
      <c r="U231" t="s">
        <v>73</v>
      </c>
      <c r="V231" t="s">
        <v>72</v>
      </c>
      <c r="W231" t="s">
        <v>72</v>
      </c>
      <c r="X231" t="s">
        <v>72</v>
      </c>
      <c r="Y231">
        <v>0</v>
      </c>
      <c r="Z231">
        <v>0</v>
      </c>
      <c r="AC231" t="s">
        <v>73</v>
      </c>
      <c r="AD231" t="s">
        <v>72</v>
      </c>
      <c r="AE231" t="s">
        <v>72</v>
      </c>
      <c r="AF231" t="s">
        <v>72</v>
      </c>
      <c r="AG231">
        <v>0</v>
      </c>
      <c r="AH231">
        <v>0</v>
      </c>
      <c r="AK231" t="s">
        <v>73</v>
      </c>
      <c r="AL231" t="s">
        <v>72</v>
      </c>
      <c r="AM231" t="s">
        <v>72</v>
      </c>
      <c r="AN231" t="s">
        <v>72</v>
      </c>
      <c r="AO231">
        <v>0</v>
      </c>
      <c r="AP231">
        <v>0</v>
      </c>
      <c r="AS231" t="s">
        <v>73</v>
      </c>
      <c r="AT231" t="s">
        <v>72</v>
      </c>
      <c r="AU231" t="s">
        <v>72</v>
      </c>
      <c r="AV231" t="s">
        <v>72</v>
      </c>
      <c r="AY231">
        <v>0</v>
      </c>
    </row>
    <row r="232" spans="1:51" x14ac:dyDescent="0.2">
      <c r="A232" t="s">
        <v>975</v>
      </c>
      <c r="B232" t="s">
        <v>183</v>
      </c>
      <c r="C232" t="s">
        <v>184</v>
      </c>
      <c r="D232" t="s">
        <v>185</v>
      </c>
      <c r="E232" t="s">
        <v>186</v>
      </c>
      <c r="F232" t="s">
        <v>187</v>
      </c>
      <c r="G232" t="s">
        <v>976</v>
      </c>
      <c r="H232" t="s">
        <v>977</v>
      </c>
      <c r="I232" t="s">
        <v>978</v>
      </c>
      <c r="J232" t="s">
        <v>979</v>
      </c>
      <c r="K232" t="s">
        <v>72</v>
      </c>
      <c r="O232" t="s">
        <v>979</v>
      </c>
      <c r="Q232">
        <v>0</v>
      </c>
      <c r="R232">
        <v>0</v>
      </c>
      <c r="U232" t="s">
        <v>73</v>
      </c>
      <c r="V232" t="s">
        <v>72</v>
      </c>
      <c r="W232" t="s">
        <v>72</v>
      </c>
      <c r="X232" t="s">
        <v>72</v>
      </c>
      <c r="Y232">
        <v>0</v>
      </c>
      <c r="Z232">
        <v>0</v>
      </c>
      <c r="AC232" t="s">
        <v>73</v>
      </c>
      <c r="AD232" t="s">
        <v>72</v>
      </c>
      <c r="AE232" t="s">
        <v>72</v>
      </c>
      <c r="AF232" t="s">
        <v>72</v>
      </c>
      <c r="AG232">
        <v>0</v>
      </c>
      <c r="AH232">
        <v>0</v>
      </c>
      <c r="AK232" t="s">
        <v>73</v>
      </c>
      <c r="AL232" t="s">
        <v>72</v>
      </c>
      <c r="AM232" t="s">
        <v>72</v>
      </c>
      <c r="AN232" t="s">
        <v>72</v>
      </c>
      <c r="AO232">
        <v>0</v>
      </c>
      <c r="AP232">
        <v>0</v>
      </c>
      <c r="AS232" t="s">
        <v>73</v>
      </c>
      <c r="AT232" t="s">
        <v>72</v>
      </c>
      <c r="AU232" t="s">
        <v>72</v>
      </c>
      <c r="AV232" t="s">
        <v>72</v>
      </c>
      <c r="AY232">
        <v>0</v>
      </c>
    </row>
    <row r="233" spans="1:51" x14ac:dyDescent="0.2">
      <c r="A233" t="s">
        <v>980</v>
      </c>
      <c r="B233" t="s">
        <v>183</v>
      </c>
      <c r="C233" t="s">
        <v>184</v>
      </c>
      <c r="D233" t="s">
        <v>185</v>
      </c>
      <c r="E233" t="s">
        <v>186</v>
      </c>
      <c r="F233" t="s">
        <v>187</v>
      </c>
      <c r="G233" t="s">
        <v>976</v>
      </c>
      <c r="H233" t="s">
        <v>977</v>
      </c>
      <c r="I233" t="s">
        <v>981</v>
      </c>
      <c r="J233" t="s">
        <v>979</v>
      </c>
      <c r="K233" t="s">
        <v>72</v>
      </c>
      <c r="O233" t="s">
        <v>979</v>
      </c>
      <c r="Q233">
        <v>0</v>
      </c>
      <c r="R233">
        <v>0</v>
      </c>
      <c r="U233" t="s">
        <v>73</v>
      </c>
      <c r="V233" t="s">
        <v>72</v>
      </c>
      <c r="W233" t="s">
        <v>72</v>
      </c>
      <c r="X233" t="s">
        <v>72</v>
      </c>
      <c r="Y233">
        <v>0</v>
      </c>
      <c r="Z233">
        <v>0</v>
      </c>
      <c r="AC233" t="s">
        <v>73</v>
      </c>
      <c r="AD233" t="s">
        <v>72</v>
      </c>
      <c r="AE233" t="s">
        <v>72</v>
      </c>
      <c r="AF233" t="s">
        <v>72</v>
      </c>
      <c r="AG233">
        <v>0</v>
      </c>
      <c r="AH233">
        <v>0</v>
      </c>
      <c r="AK233" t="s">
        <v>73</v>
      </c>
      <c r="AL233" t="s">
        <v>72</v>
      </c>
      <c r="AM233" t="s">
        <v>72</v>
      </c>
      <c r="AN233" t="s">
        <v>72</v>
      </c>
      <c r="AO233">
        <v>0</v>
      </c>
      <c r="AP233">
        <v>0</v>
      </c>
      <c r="AS233" t="s">
        <v>73</v>
      </c>
      <c r="AT233" t="s">
        <v>72</v>
      </c>
      <c r="AU233" t="s">
        <v>72</v>
      </c>
      <c r="AV233" t="s">
        <v>72</v>
      </c>
      <c r="AY233">
        <v>0</v>
      </c>
    </row>
    <row r="234" spans="1:51" x14ac:dyDescent="0.2">
      <c r="A234" t="s">
        <v>982</v>
      </c>
      <c r="B234" t="s">
        <v>183</v>
      </c>
      <c r="C234" t="s">
        <v>184</v>
      </c>
      <c r="D234" t="s">
        <v>185</v>
      </c>
      <c r="E234" t="s">
        <v>186</v>
      </c>
      <c r="F234" t="s">
        <v>187</v>
      </c>
      <c r="G234" t="s">
        <v>976</v>
      </c>
      <c r="H234" t="s">
        <v>977</v>
      </c>
      <c r="I234" t="s">
        <v>983</v>
      </c>
      <c r="J234" t="s">
        <v>979</v>
      </c>
      <c r="K234" t="s">
        <v>72</v>
      </c>
      <c r="O234" t="s">
        <v>979</v>
      </c>
      <c r="Q234">
        <v>0</v>
      </c>
      <c r="R234">
        <v>0</v>
      </c>
      <c r="U234" t="s">
        <v>73</v>
      </c>
      <c r="V234" t="s">
        <v>72</v>
      </c>
      <c r="W234" t="s">
        <v>72</v>
      </c>
      <c r="X234" t="s">
        <v>72</v>
      </c>
      <c r="Y234">
        <v>0</v>
      </c>
      <c r="Z234">
        <v>0</v>
      </c>
      <c r="AC234" t="s">
        <v>73</v>
      </c>
      <c r="AD234" t="s">
        <v>72</v>
      </c>
      <c r="AE234" t="s">
        <v>72</v>
      </c>
      <c r="AF234" t="s">
        <v>72</v>
      </c>
      <c r="AG234">
        <v>0</v>
      </c>
      <c r="AH234">
        <v>0</v>
      </c>
      <c r="AK234" t="s">
        <v>73</v>
      </c>
      <c r="AL234" t="s">
        <v>72</v>
      </c>
      <c r="AM234" t="s">
        <v>72</v>
      </c>
      <c r="AN234" t="s">
        <v>72</v>
      </c>
      <c r="AO234">
        <v>0</v>
      </c>
      <c r="AP234">
        <v>0</v>
      </c>
      <c r="AS234" t="s">
        <v>73</v>
      </c>
      <c r="AT234" t="s">
        <v>72</v>
      </c>
      <c r="AU234" t="s">
        <v>72</v>
      </c>
      <c r="AV234" t="s">
        <v>72</v>
      </c>
      <c r="AY234">
        <v>0</v>
      </c>
    </row>
    <row r="235" spans="1:51" x14ac:dyDescent="0.2">
      <c r="A235" t="s">
        <v>984</v>
      </c>
      <c r="B235" t="s">
        <v>183</v>
      </c>
      <c r="C235" t="s">
        <v>184</v>
      </c>
      <c r="D235" t="s">
        <v>185</v>
      </c>
      <c r="E235" t="s">
        <v>186</v>
      </c>
      <c r="F235" t="s">
        <v>187</v>
      </c>
      <c r="G235" t="s">
        <v>976</v>
      </c>
      <c r="H235" t="s">
        <v>977</v>
      </c>
      <c r="I235" t="s">
        <v>985</v>
      </c>
      <c r="J235" t="s">
        <v>979</v>
      </c>
      <c r="K235" t="s">
        <v>72</v>
      </c>
      <c r="O235" t="s">
        <v>979</v>
      </c>
      <c r="Q235">
        <v>0</v>
      </c>
      <c r="R235">
        <v>0</v>
      </c>
      <c r="U235" t="s">
        <v>73</v>
      </c>
      <c r="V235" t="s">
        <v>72</v>
      </c>
      <c r="W235" t="s">
        <v>72</v>
      </c>
      <c r="X235" t="s">
        <v>72</v>
      </c>
      <c r="Y235">
        <v>0</v>
      </c>
      <c r="Z235">
        <v>0</v>
      </c>
      <c r="AC235" t="s">
        <v>73</v>
      </c>
      <c r="AD235" t="s">
        <v>72</v>
      </c>
      <c r="AE235" t="s">
        <v>72</v>
      </c>
      <c r="AF235" t="s">
        <v>72</v>
      </c>
      <c r="AG235">
        <v>0</v>
      </c>
      <c r="AH235">
        <v>0</v>
      </c>
      <c r="AK235" t="s">
        <v>73</v>
      </c>
      <c r="AL235" t="s">
        <v>72</v>
      </c>
      <c r="AM235" t="s">
        <v>72</v>
      </c>
      <c r="AN235" t="s">
        <v>72</v>
      </c>
      <c r="AO235">
        <v>0</v>
      </c>
      <c r="AP235">
        <v>0</v>
      </c>
      <c r="AS235" t="s">
        <v>73</v>
      </c>
      <c r="AT235" t="s">
        <v>72</v>
      </c>
      <c r="AU235" t="s">
        <v>72</v>
      </c>
      <c r="AV235" t="s">
        <v>72</v>
      </c>
      <c r="AY235">
        <v>0</v>
      </c>
    </row>
    <row r="236" spans="1:51" x14ac:dyDescent="0.2">
      <c r="A236" t="s">
        <v>986</v>
      </c>
      <c r="B236" t="s">
        <v>183</v>
      </c>
      <c r="C236" t="s">
        <v>184</v>
      </c>
      <c r="D236" t="s">
        <v>185</v>
      </c>
      <c r="E236" t="s">
        <v>186</v>
      </c>
      <c r="F236" t="s">
        <v>187</v>
      </c>
      <c r="G236" t="s">
        <v>976</v>
      </c>
      <c r="H236" t="s">
        <v>977</v>
      </c>
      <c r="I236" t="s">
        <v>987</v>
      </c>
      <c r="J236" t="s">
        <v>979</v>
      </c>
      <c r="K236" t="s">
        <v>72</v>
      </c>
      <c r="O236" t="s">
        <v>979</v>
      </c>
      <c r="Q236">
        <v>0</v>
      </c>
      <c r="R236">
        <v>0</v>
      </c>
      <c r="U236" t="s">
        <v>73</v>
      </c>
      <c r="V236" t="s">
        <v>72</v>
      </c>
      <c r="W236" t="s">
        <v>72</v>
      </c>
      <c r="X236" t="s">
        <v>72</v>
      </c>
      <c r="Y236">
        <v>0</v>
      </c>
      <c r="Z236">
        <v>0</v>
      </c>
      <c r="AC236" t="s">
        <v>73</v>
      </c>
      <c r="AD236" t="s">
        <v>72</v>
      </c>
      <c r="AE236" t="s">
        <v>72</v>
      </c>
      <c r="AF236" t="s">
        <v>72</v>
      </c>
      <c r="AG236">
        <v>0</v>
      </c>
      <c r="AH236">
        <v>0</v>
      </c>
      <c r="AK236" t="s">
        <v>73</v>
      </c>
      <c r="AL236" t="s">
        <v>72</v>
      </c>
      <c r="AM236" t="s">
        <v>72</v>
      </c>
      <c r="AN236" t="s">
        <v>72</v>
      </c>
      <c r="AO236">
        <v>0</v>
      </c>
      <c r="AP236">
        <v>0</v>
      </c>
      <c r="AS236" t="s">
        <v>73</v>
      </c>
      <c r="AT236" t="s">
        <v>72</v>
      </c>
      <c r="AU236" t="s">
        <v>72</v>
      </c>
      <c r="AV236" t="s">
        <v>72</v>
      </c>
      <c r="AY236">
        <v>0</v>
      </c>
    </row>
    <row r="237" spans="1:51" x14ac:dyDescent="0.2">
      <c r="A237" t="s">
        <v>988</v>
      </c>
      <c r="B237" t="s">
        <v>183</v>
      </c>
      <c r="C237" t="s">
        <v>184</v>
      </c>
      <c r="D237" t="s">
        <v>185</v>
      </c>
      <c r="E237" t="s">
        <v>186</v>
      </c>
      <c r="F237" t="s">
        <v>187</v>
      </c>
      <c r="G237" t="s">
        <v>188</v>
      </c>
      <c r="H237" t="s">
        <v>189</v>
      </c>
      <c r="I237" t="s">
        <v>989</v>
      </c>
      <c r="J237" t="s">
        <v>193</v>
      </c>
      <c r="K237" t="s">
        <v>72</v>
      </c>
      <c r="O237" t="s">
        <v>193</v>
      </c>
      <c r="Q237">
        <v>0</v>
      </c>
      <c r="R237">
        <v>0</v>
      </c>
      <c r="U237" t="s">
        <v>73</v>
      </c>
      <c r="V237" t="s">
        <v>72</v>
      </c>
      <c r="W237" t="s">
        <v>72</v>
      </c>
      <c r="X237" t="s">
        <v>72</v>
      </c>
      <c r="Y237">
        <v>0</v>
      </c>
      <c r="Z237">
        <v>0</v>
      </c>
      <c r="AC237" t="s">
        <v>73</v>
      </c>
      <c r="AD237" t="s">
        <v>72</v>
      </c>
      <c r="AE237" t="s">
        <v>72</v>
      </c>
      <c r="AF237" t="s">
        <v>72</v>
      </c>
      <c r="AG237">
        <v>0</v>
      </c>
      <c r="AH237">
        <v>0</v>
      </c>
      <c r="AK237" t="s">
        <v>73</v>
      </c>
      <c r="AL237" t="s">
        <v>72</v>
      </c>
      <c r="AM237" t="s">
        <v>72</v>
      </c>
      <c r="AN237" t="s">
        <v>72</v>
      </c>
      <c r="AO237">
        <v>0</v>
      </c>
      <c r="AP237">
        <v>0</v>
      </c>
      <c r="AS237" t="s">
        <v>73</v>
      </c>
      <c r="AT237" t="s">
        <v>72</v>
      </c>
      <c r="AU237" t="s">
        <v>72</v>
      </c>
      <c r="AV237" t="s">
        <v>72</v>
      </c>
      <c r="AY237">
        <v>0</v>
      </c>
    </row>
    <row r="238" spans="1:51" x14ac:dyDescent="0.2">
      <c r="A238" t="s">
        <v>990</v>
      </c>
      <c r="B238" t="s">
        <v>183</v>
      </c>
      <c r="C238" t="s">
        <v>184</v>
      </c>
      <c r="D238" t="s">
        <v>185</v>
      </c>
      <c r="E238" t="s">
        <v>186</v>
      </c>
      <c r="F238" t="s">
        <v>187</v>
      </c>
      <c r="G238" t="s">
        <v>188</v>
      </c>
      <c r="H238" t="s">
        <v>189</v>
      </c>
      <c r="I238" t="s">
        <v>991</v>
      </c>
      <c r="J238" t="s">
        <v>193</v>
      </c>
      <c r="K238" t="s">
        <v>72</v>
      </c>
      <c r="O238" t="s">
        <v>193</v>
      </c>
      <c r="Q238">
        <v>0</v>
      </c>
      <c r="R238">
        <v>0</v>
      </c>
      <c r="U238" t="s">
        <v>73</v>
      </c>
      <c r="V238" t="s">
        <v>72</v>
      </c>
      <c r="W238" t="s">
        <v>72</v>
      </c>
      <c r="X238" t="s">
        <v>72</v>
      </c>
      <c r="Y238">
        <v>0</v>
      </c>
      <c r="Z238">
        <v>0</v>
      </c>
      <c r="AC238" t="s">
        <v>73</v>
      </c>
      <c r="AD238" t="s">
        <v>72</v>
      </c>
      <c r="AE238" t="s">
        <v>72</v>
      </c>
      <c r="AF238" t="s">
        <v>72</v>
      </c>
      <c r="AG238">
        <v>0</v>
      </c>
      <c r="AH238">
        <v>0</v>
      </c>
      <c r="AK238" t="s">
        <v>73</v>
      </c>
      <c r="AL238" t="s">
        <v>72</v>
      </c>
      <c r="AM238" t="s">
        <v>72</v>
      </c>
      <c r="AN238" t="s">
        <v>72</v>
      </c>
      <c r="AO238">
        <v>0</v>
      </c>
      <c r="AP238">
        <v>0</v>
      </c>
      <c r="AS238" t="s">
        <v>73</v>
      </c>
      <c r="AT238" t="s">
        <v>72</v>
      </c>
      <c r="AU238" t="s">
        <v>72</v>
      </c>
      <c r="AV238" t="s">
        <v>72</v>
      </c>
      <c r="AY238">
        <v>0</v>
      </c>
    </row>
    <row r="239" spans="1:51" x14ac:dyDescent="0.2">
      <c r="A239" t="s">
        <v>992</v>
      </c>
      <c r="B239" t="s">
        <v>183</v>
      </c>
      <c r="C239" t="s">
        <v>184</v>
      </c>
      <c r="D239" t="s">
        <v>185</v>
      </c>
      <c r="E239" t="s">
        <v>186</v>
      </c>
      <c r="F239" t="s">
        <v>187</v>
      </c>
      <c r="G239" t="s">
        <v>188</v>
      </c>
      <c r="H239" t="s">
        <v>189</v>
      </c>
      <c r="I239" t="s">
        <v>993</v>
      </c>
      <c r="J239" t="s">
        <v>193</v>
      </c>
      <c r="K239" t="s">
        <v>72</v>
      </c>
      <c r="O239" t="s">
        <v>193</v>
      </c>
      <c r="Q239">
        <v>0</v>
      </c>
      <c r="R239">
        <v>0</v>
      </c>
      <c r="U239" t="s">
        <v>73</v>
      </c>
      <c r="V239" t="s">
        <v>72</v>
      </c>
      <c r="W239" t="s">
        <v>72</v>
      </c>
      <c r="X239" t="s">
        <v>72</v>
      </c>
      <c r="Y239">
        <v>0</v>
      </c>
      <c r="Z239">
        <v>0</v>
      </c>
      <c r="AC239" t="s">
        <v>73</v>
      </c>
      <c r="AD239" t="s">
        <v>72</v>
      </c>
      <c r="AE239" t="s">
        <v>72</v>
      </c>
      <c r="AF239" t="s">
        <v>72</v>
      </c>
      <c r="AG239">
        <v>0</v>
      </c>
      <c r="AH239">
        <v>0</v>
      </c>
      <c r="AK239" t="s">
        <v>73</v>
      </c>
      <c r="AL239" t="s">
        <v>72</v>
      </c>
      <c r="AM239" t="s">
        <v>72</v>
      </c>
      <c r="AN239" t="s">
        <v>72</v>
      </c>
      <c r="AO239">
        <v>0</v>
      </c>
      <c r="AP239">
        <v>0</v>
      </c>
      <c r="AS239" t="s">
        <v>73</v>
      </c>
      <c r="AT239" t="s">
        <v>72</v>
      </c>
      <c r="AU239" t="s">
        <v>72</v>
      </c>
      <c r="AV239" t="s">
        <v>72</v>
      </c>
      <c r="AY239">
        <v>0</v>
      </c>
    </row>
    <row r="240" spans="1:51" x14ac:dyDescent="0.2">
      <c r="A240" t="s">
        <v>994</v>
      </c>
      <c r="B240" t="s">
        <v>183</v>
      </c>
      <c r="C240" t="s">
        <v>184</v>
      </c>
      <c r="D240" t="s">
        <v>185</v>
      </c>
      <c r="E240" t="s">
        <v>186</v>
      </c>
      <c r="F240" t="s">
        <v>187</v>
      </c>
      <c r="G240" t="s">
        <v>456</v>
      </c>
      <c r="H240" t="s">
        <v>457</v>
      </c>
      <c r="I240" t="s">
        <v>995</v>
      </c>
      <c r="J240" t="s">
        <v>460</v>
      </c>
      <c r="K240" t="s">
        <v>72</v>
      </c>
      <c r="O240" t="s">
        <v>460</v>
      </c>
      <c r="Q240">
        <v>0</v>
      </c>
      <c r="R240">
        <v>0</v>
      </c>
      <c r="U240" t="s">
        <v>73</v>
      </c>
      <c r="V240" t="s">
        <v>72</v>
      </c>
      <c r="W240" t="s">
        <v>72</v>
      </c>
      <c r="X240" t="s">
        <v>72</v>
      </c>
      <c r="Y240">
        <v>0</v>
      </c>
      <c r="Z240">
        <v>0</v>
      </c>
      <c r="AC240" t="s">
        <v>73</v>
      </c>
      <c r="AD240" t="s">
        <v>72</v>
      </c>
      <c r="AE240" t="s">
        <v>72</v>
      </c>
      <c r="AF240" t="s">
        <v>72</v>
      </c>
      <c r="AG240">
        <v>0</v>
      </c>
      <c r="AH240">
        <v>0</v>
      </c>
      <c r="AK240" t="s">
        <v>73</v>
      </c>
      <c r="AL240" t="s">
        <v>72</v>
      </c>
      <c r="AM240" t="s">
        <v>72</v>
      </c>
      <c r="AN240" t="s">
        <v>72</v>
      </c>
      <c r="AO240">
        <v>0</v>
      </c>
      <c r="AP240">
        <v>0</v>
      </c>
      <c r="AS240" t="s">
        <v>73</v>
      </c>
      <c r="AT240" t="s">
        <v>72</v>
      </c>
      <c r="AU240" t="s">
        <v>72</v>
      </c>
      <c r="AV240" t="s">
        <v>72</v>
      </c>
      <c r="AY240">
        <v>0</v>
      </c>
    </row>
    <row r="241" spans="1:51" x14ac:dyDescent="0.2">
      <c r="A241" t="s">
        <v>996</v>
      </c>
      <c r="B241" t="s">
        <v>183</v>
      </c>
      <c r="C241" t="s">
        <v>184</v>
      </c>
      <c r="D241" t="s">
        <v>185</v>
      </c>
      <c r="E241" t="s">
        <v>186</v>
      </c>
      <c r="F241" t="s">
        <v>187</v>
      </c>
      <c r="G241" t="s">
        <v>997</v>
      </c>
      <c r="H241" t="s">
        <v>998</v>
      </c>
      <c r="I241" t="s">
        <v>999</v>
      </c>
      <c r="J241" t="s">
        <v>1000</v>
      </c>
      <c r="K241" t="s">
        <v>72</v>
      </c>
      <c r="O241" t="s">
        <v>1000</v>
      </c>
      <c r="Q241">
        <v>0</v>
      </c>
      <c r="R241">
        <v>0</v>
      </c>
      <c r="U241" t="s">
        <v>73</v>
      </c>
      <c r="V241" t="s">
        <v>72</v>
      </c>
      <c r="W241" t="s">
        <v>72</v>
      </c>
      <c r="X241" t="s">
        <v>72</v>
      </c>
      <c r="Y241">
        <v>0</v>
      </c>
      <c r="Z241">
        <v>0</v>
      </c>
      <c r="AC241" t="s">
        <v>73</v>
      </c>
      <c r="AD241" t="s">
        <v>72</v>
      </c>
      <c r="AE241" t="s">
        <v>72</v>
      </c>
      <c r="AF241" t="s">
        <v>72</v>
      </c>
      <c r="AG241">
        <v>0</v>
      </c>
      <c r="AH241">
        <v>0</v>
      </c>
      <c r="AK241" t="s">
        <v>73</v>
      </c>
      <c r="AL241" t="s">
        <v>72</v>
      </c>
      <c r="AM241" t="s">
        <v>72</v>
      </c>
      <c r="AN241" t="s">
        <v>72</v>
      </c>
      <c r="AO241">
        <v>0</v>
      </c>
      <c r="AP241">
        <v>0</v>
      </c>
      <c r="AS241" t="s">
        <v>73</v>
      </c>
      <c r="AT241" t="s">
        <v>72</v>
      </c>
      <c r="AU241" t="s">
        <v>72</v>
      </c>
      <c r="AV241" t="s">
        <v>72</v>
      </c>
      <c r="AY241">
        <v>0</v>
      </c>
    </row>
    <row r="242" spans="1:51" x14ac:dyDescent="0.2">
      <c r="A242" t="s">
        <v>1001</v>
      </c>
      <c r="B242" t="s">
        <v>183</v>
      </c>
      <c r="C242" t="s">
        <v>184</v>
      </c>
      <c r="D242" t="s">
        <v>185</v>
      </c>
      <c r="E242" t="s">
        <v>186</v>
      </c>
      <c r="F242" t="s">
        <v>187</v>
      </c>
      <c r="G242" t="s">
        <v>1002</v>
      </c>
      <c r="H242" t="s">
        <v>1003</v>
      </c>
      <c r="I242" t="s">
        <v>1004</v>
      </c>
      <c r="J242" t="s">
        <v>1005</v>
      </c>
      <c r="K242" t="s">
        <v>72</v>
      </c>
      <c r="O242" t="s">
        <v>1005</v>
      </c>
      <c r="Q242">
        <v>0</v>
      </c>
      <c r="R242">
        <v>0</v>
      </c>
      <c r="U242" t="s">
        <v>73</v>
      </c>
      <c r="V242" t="s">
        <v>72</v>
      </c>
      <c r="W242" t="s">
        <v>72</v>
      </c>
      <c r="X242" t="s">
        <v>72</v>
      </c>
      <c r="Y242">
        <v>0</v>
      </c>
      <c r="Z242">
        <v>0</v>
      </c>
      <c r="AC242" t="s">
        <v>73</v>
      </c>
      <c r="AD242" t="s">
        <v>72</v>
      </c>
      <c r="AE242" t="s">
        <v>72</v>
      </c>
      <c r="AF242" t="s">
        <v>72</v>
      </c>
      <c r="AG242">
        <v>0</v>
      </c>
      <c r="AH242">
        <v>0</v>
      </c>
      <c r="AK242" t="s">
        <v>73</v>
      </c>
      <c r="AL242" t="s">
        <v>72</v>
      </c>
      <c r="AM242" t="s">
        <v>72</v>
      </c>
      <c r="AN242" t="s">
        <v>72</v>
      </c>
      <c r="AO242">
        <v>0</v>
      </c>
      <c r="AP242">
        <v>0</v>
      </c>
      <c r="AS242" t="s">
        <v>73</v>
      </c>
      <c r="AT242" t="s">
        <v>72</v>
      </c>
      <c r="AU242" t="s">
        <v>72</v>
      </c>
      <c r="AV242" t="s">
        <v>72</v>
      </c>
      <c r="AY242">
        <v>0</v>
      </c>
    </row>
    <row r="243" spans="1:51" x14ac:dyDescent="0.2">
      <c r="A243" t="s">
        <v>1006</v>
      </c>
      <c r="B243" t="s">
        <v>199</v>
      </c>
      <c r="C243" t="s">
        <v>200</v>
      </c>
      <c r="D243" t="s">
        <v>465</v>
      </c>
      <c r="E243" t="s">
        <v>466</v>
      </c>
      <c r="F243" t="s">
        <v>467</v>
      </c>
      <c r="G243" t="s">
        <v>1007</v>
      </c>
      <c r="H243" t="s">
        <v>1008</v>
      </c>
      <c r="I243" t="s">
        <v>1009</v>
      </c>
      <c r="J243" t="s">
        <v>1010</v>
      </c>
      <c r="K243" t="s">
        <v>72</v>
      </c>
      <c r="O243" t="s">
        <v>1010</v>
      </c>
      <c r="Q243">
        <v>0</v>
      </c>
      <c r="R243">
        <v>0</v>
      </c>
      <c r="U243" t="s">
        <v>73</v>
      </c>
      <c r="V243" t="s">
        <v>72</v>
      </c>
      <c r="W243" t="s">
        <v>72</v>
      </c>
      <c r="X243" t="s">
        <v>72</v>
      </c>
      <c r="Y243">
        <v>0</v>
      </c>
      <c r="Z243">
        <v>0</v>
      </c>
      <c r="AC243" t="s">
        <v>73</v>
      </c>
      <c r="AD243" t="s">
        <v>72</v>
      </c>
      <c r="AE243" t="s">
        <v>72</v>
      </c>
      <c r="AF243" t="s">
        <v>72</v>
      </c>
      <c r="AG243">
        <v>0</v>
      </c>
      <c r="AH243">
        <v>0</v>
      </c>
      <c r="AK243" t="s">
        <v>73</v>
      </c>
      <c r="AL243" t="s">
        <v>72</v>
      </c>
      <c r="AM243" t="s">
        <v>72</v>
      </c>
      <c r="AN243" t="s">
        <v>72</v>
      </c>
      <c r="AO243">
        <v>0</v>
      </c>
      <c r="AP243">
        <v>0</v>
      </c>
      <c r="AS243" t="s">
        <v>73</v>
      </c>
      <c r="AT243" t="s">
        <v>72</v>
      </c>
      <c r="AU243" t="s">
        <v>72</v>
      </c>
      <c r="AV243" t="s">
        <v>72</v>
      </c>
      <c r="AY243">
        <v>0</v>
      </c>
    </row>
    <row r="244" spans="1:51" x14ac:dyDescent="0.2">
      <c r="A244" t="s">
        <v>1011</v>
      </c>
      <c r="B244" t="s">
        <v>199</v>
      </c>
      <c r="C244" t="s">
        <v>200</v>
      </c>
      <c r="D244" t="s">
        <v>465</v>
      </c>
      <c r="E244" t="s">
        <v>466</v>
      </c>
      <c r="F244" t="s">
        <v>467</v>
      </c>
      <c r="G244" t="s">
        <v>1007</v>
      </c>
      <c r="H244" t="s">
        <v>1008</v>
      </c>
      <c r="I244" t="s">
        <v>1012</v>
      </c>
      <c r="J244" t="s">
        <v>1010</v>
      </c>
      <c r="K244" t="s">
        <v>72</v>
      </c>
      <c r="O244" t="s">
        <v>1010</v>
      </c>
      <c r="Q244">
        <v>0</v>
      </c>
      <c r="R244">
        <v>0</v>
      </c>
      <c r="U244" t="s">
        <v>73</v>
      </c>
      <c r="V244" t="s">
        <v>72</v>
      </c>
      <c r="W244" t="s">
        <v>72</v>
      </c>
      <c r="X244" t="s">
        <v>72</v>
      </c>
      <c r="Y244">
        <v>0</v>
      </c>
      <c r="Z244">
        <v>0</v>
      </c>
      <c r="AC244" t="s">
        <v>73</v>
      </c>
      <c r="AD244" t="s">
        <v>72</v>
      </c>
      <c r="AE244" t="s">
        <v>72</v>
      </c>
      <c r="AF244" t="s">
        <v>72</v>
      </c>
      <c r="AG244">
        <v>0</v>
      </c>
      <c r="AH244">
        <v>0</v>
      </c>
      <c r="AK244" t="s">
        <v>73</v>
      </c>
      <c r="AL244" t="s">
        <v>72</v>
      </c>
      <c r="AM244" t="s">
        <v>72</v>
      </c>
      <c r="AN244" t="s">
        <v>72</v>
      </c>
      <c r="AO244">
        <v>0</v>
      </c>
      <c r="AP244">
        <v>0</v>
      </c>
      <c r="AS244" t="s">
        <v>73</v>
      </c>
      <c r="AT244" t="s">
        <v>72</v>
      </c>
      <c r="AU244" t="s">
        <v>72</v>
      </c>
      <c r="AV244" t="s">
        <v>72</v>
      </c>
      <c r="AY244">
        <v>0</v>
      </c>
    </row>
    <row r="245" spans="1:51" x14ac:dyDescent="0.2">
      <c r="A245" t="s">
        <v>1013</v>
      </c>
      <c r="B245" t="s">
        <v>199</v>
      </c>
      <c r="C245" t="s">
        <v>200</v>
      </c>
      <c r="D245" t="s">
        <v>465</v>
      </c>
      <c r="E245" t="s">
        <v>466</v>
      </c>
      <c r="F245" t="s">
        <v>467</v>
      </c>
      <c r="G245" t="s">
        <v>1007</v>
      </c>
      <c r="H245" t="s">
        <v>1008</v>
      </c>
      <c r="I245" t="s">
        <v>1014</v>
      </c>
      <c r="J245" t="s">
        <v>1010</v>
      </c>
      <c r="K245" t="s">
        <v>72</v>
      </c>
      <c r="O245" t="s">
        <v>1010</v>
      </c>
      <c r="Q245">
        <v>0</v>
      </c>
      <c r="R245">
        <v>0</v>
      </c>
      <c r="U245" t="s">
        <v>73</v>
      </c>
      <c r="V245" t="s">
        <v>72</v>
      </c>
      <c r="W245" t="s">
        <v>72</v>
      </c>
      <c r="X245" t="s">
        <v>72</v>
      </c>
      <c r="Y245">
        <v>0</v>
      </c>
      <c r="Z245">
        <v>0</v>
      </c>
      <c r="AC245" t="s">
        <v>73</v>
      </c>
      <c r="AD245" t="s">
        <v>72</v>
      </c>
      <c r="AE245" t="s">
        <v>72</v>
      </c>
      <c r="AF245" t="s">
        <v>72</v>
      </c>
      <c r="AG245">
        <v>0</v>
      </c>
      <c r="AH245">
        <v>0</v>
      </c>
      <c r="AK245" t="s">
        <v>73</v>
      </c>
      <c r="AL245" t="s">
        <v>72</v>
      </c>
      <c r="AM245" t="s">
        <v>72</v>
      </c>
      <c r="AN245" t="s">
        <v>72</v>
      </c>
      <c r="AO245">
        <v>0</v>
      </c>
      <c r="AP245">
        <v>0</v>
      </c>
      <c r="AS245" t="s">
        <v>73</v>
      </c>
      <c r="AT245" t="s">
        <v>72</v>
      </c>
      <c r="AU245" t="s">
        <v>72</v>
      </c>
      <c r="AV245" t="s">
        <v>72</v>
      </c>
      <c r="AY245">
        <v>0</v>
      </c>
    </row>
    <row r="246" spans="1:51" x14ac:dyDescent="0.2">
      <c r="A246" t="s">
        <v>1015</v>
      </c>
      <c r="B246" t="s">
        <v>199</v>
      </c>
      <c r="C246" t="s">
        <v>200</v>
      </c>
      <c r="D246" t="s">
        <v>465</v>
      </c>
      <c r="E246" t="s">
        <v>466</v>
      </c>
      <c r="F246" t="s">
        <v>467</v>
      </c>
      <c r="G246" t="s">
        <v>1007</v>
      </c>
      <c r="H246" t="s">
        <v>1008</v>
      </c>
      <c r="I246" t="s">
        <v>1016</v>
      </c>
      <c r="J246" t="s">
        <v>1010</v>
      </c>
      <c r="K246" t="s">
        <v>72</v>
      </c>
      <c r="O246" t="s">
        <v>1010</v>
      </c>
      <c r="Q246">
        <v>0</v>
      </c>
      <c r="R246">
        <v>0</v>
      </c>
      <c r="U246" t="s">
        <v>73</v>
      </c>
      <c r="V246" t="s">
        <v>72</v>
      </c>
      <c r="W246" t="s">
        <v>72</v>
      </c>
      <c r="X246" t="s">
        <v>72</v>
      </c>
      <c r="Y246">
        <v>0</v>
      </c>
      <c r="Z246">
        <v>0</v>
      </c>
      <c r="AC246" t="s">
        <v>73</v>
      </c>
      <c r="AD246" t="s">
        <v>72</v>
      </c>
      <c r="AE246" t="s">
        <v>72</v>
      </c>
      <c r="AF246" t="s">
        <v>72</v>
      </c>
      <c r="AG246">
        <v>0</v>
      </c>
      <c r="AH246">
        <v>0</v>
      </c>
      <c r="AK246" t="s">
        <v>73</v>
      </c>
      <c r="AL246" t="s">
        <v>72</v>
      </c>
      <c r="AM246" t="s">
        <v>72</v>
      </c>
      <c r="AN246" t="s">
        <v>72</v>
      </c>
      <c r="AO246">
        <v>0</v>
      </c>
      <c r="AP246">
        <v>0</v>
      </c>
      <c r="AS246" t="s">
        <v>73</v>
      </c>
      <c r="AT246" t="s">
        <v>72</v>
      </c>
      <c r="AU246" t="s">
        <v>72</v>
      </c>
      <c r="AV246" t="s">
        <v>72</v>
      </c>
      <c r="AY246">
        <v>0</v>
      </c>
    </row>
    <row r="247" spans="1:51" x14ac:dyDescent="0.2">
      <c r="A247" t="s">
        <v>1017</v>
      </c>
      <c r="B247" t="s">
        <v>199</v>
      </c>
      <c r="C247" t="s">
        <v>200</v>
      </c>
      <c r="D247" t="s">
        <v>465</v>
      </c>
      <c r="E247" t="s">
        <v>466</v>
      </c>
      <c r="F247" t="s">
        <v>467</v>
      </c>
      <c r="G247" t="s">
        <v>468</v>
      </c>
      <c r="H247" t="s">
        <v>469</v>
      </c>
      <c r="I247" t="s">
        <v>1018</v>
      </c>
      <c r="J247" t="s">
        <v>472</v>
      </c>
      <c r="K247" t="s">
        <v>72</v>
      </c>
      <c r="O247" t="s">
        <v>472</v>
      </c>
      <c r="Q247">
        <v>0</v>
      </c>
      <c r="R247">
        <v>0</v>
      </c>
      <c r="U247" t="s">
        <v>73</v>
      </c>
      <c r="V247" t="s">
        <v>72</v>
      </c>
      <c r="W247" t="s">
        <v>72</v>
      </c>
      <c r="X247" t="s">
        <v>72</v>
      </c>
      <c r="Y247">
        <v>0</v>
      </c>
      <c r="Z247">
        <v>0</v>
      </c>
      <c r="AC247" t="s">
        <v>73</v>
      </c>
      <c r="AD247" t="s">
        <v>72</v>
      </c>
      <c r="AE247" t="s">
        <v>72</v>
      </c>
      <c r="AF247" t="s">
        <v>72</v>
      </c>
      <c r="AG247">
        <v>0</v>
      </c>
      <c r="AH247">
        <v>0</v>
      </c>
      <c r="AK247" t="s">
        <v>73</v>
      </c>
      <c r="AL247" t="s">
        <v>72</v>
      </c>
      <c r="AM247" t="s">
        <v>72</v>
      </c>
      <c r="AN247" t="s">
        <v>72</v>
      </c>
      <c r="AO247">
        <v>0</v>
      </c>
      <c r="AP247">
        <v>0</v>
      </c>
      <c r="AS247" t="s">
        <v>73</v>
      </c>
      <c r="AT247" t="s">
        <v>72</v>
      </c>
      <c r="AU247" t="s">
        <v>72</v>
      </c>
      <c r="AV247" t="s">
        <v>72</v>
      </c>
      <c r="AY247">
        <v>0</v>
      </c>
    </row>
    <row r="248" spans="1:51" x14ac:dyDescent="0.2">
      <c r="A248" t="s">
        <v>1019</v>
      </c>
      <c r="B248" t="s">
        <v>199</v>
      </c>
      <c r="C248" t="s">
        <v>200</v>
      </c>
      <c r="D248" t="s">
        <v>465</v>
      </c>
      <c r="E248" t="s">
        <v>466</v>
      </c>
      <c r="F248" t="s">
        <v>467</v>
      </c>
      <c r="G248" t="s">
        <v>1020</v>
      </c>
      <c r="H248" t="s">
        <v>1021</v>
      </c>
      <c r="I248" t="s">
        <v>1022</v>
      </c>
      <c r="J248" t="s">
        <v>1023</v>
      </c>
      <c r="K248" t="s">
        <v>72</v>
      </c>
      <c r="O248" t="s">
        <v>1023</v>
      </c>
      <c r="Q248">
        <v>0</v>
      </c>
      <c r="R248">
        <v>0</v>
      </c>
      <c r="U248" t="s">
        <v>73</v>
      </c>
      <c r="V248" t="s">
        <v>72</v>
      </c>
      <c r="W248" t="s">
        <v>72</v>
      </c>
      <c r="X248" t="s">
        <v>72</v>
      </c>
      <c r="Y248">
        <v>0</v>
      </c>
      <c r="Z248">
        <v>0</v>
      </c>
      <c r="AC248" t="s">
        <v>73</v>
      </c>
      <c r="AD248" t="s">
        <v>72</v>
      </c>
      <c r="AE248" t="s">
        <v>72</v>
      </c>
      <c r="AF248" t="s">
        <v>72</v>
      </c>
      <c r="AG248">
        <v>0</v>
      </c>
      <c r="AH248">
        <v>0</v>
      </c>
      <c r="AK248" t="s">
        <v>73</v>
      </c>
      <c r="AL248" t="s">
        <v>72</v>
      </c>
      <c r="AM248" t="s">
        <v>72</v>
      </c>
      <c r="AN248" t="s">
        <v>72</v>
      </c>
      <c r="AO248">
        <v>0</v>
      </c>
      <c r="AP248">
        <v>0</v>
      </c>
      <c r="AS248" t="s">
        <v>73</v>
      </c>
      <c r="AT248" t="s">
        <v>72</v>
      </c>
      <c r="AU248" t="s">
        <v>72</v>
      </c>
      <c r="AV248" t="s">
        <v>72</v>
      </c>
      <c r="AY248">
        <v>0</v>
      </c>
    </row>
    <row r="249" spans="1:51" x14ac:dyDescent="0.2">
      <c r="A249" t="s">
        <v>1024</v>
      </c>
      <c r="B249" t="s">
        <v>199</v>
      </c>
      <c r="C249" t="s">
        <v>200</v>
      </c>
      <c r="D249" t="s">
        <v>465</v>
      </c>
      <c r="E249" t="s">
        <v>466</v>
      </c>
      <c r="F249" t="s">
        <v>467</v>
      </c>
      <c r="G249" t="s">
        <v>1020</v>
      </c>
      <c r="H249" t="s">
        <v>1021</v>
      </c>
      <c r="I249" t="s">
        <v>1025</v>
      </c>
      <c r="J249" t="s">
        <v>1023</v>
      </c>
      <c r="K249" t="s">
        <v>72</v>
      </c>
      <c r="O249" t="s">
        <v>1023</v>
      </c>
      <c r="Q249">
        <v>0</v>
      </c>
      <c r="R249">
        <v>0</v>
      </c>
      <c r="U249" t="s">
        <v>73</v>
      </c>
      <c r="V249" t="s">
        <v>72</v>
      </c>
      <c r="W249" t="s">
        <v>72</v>
      </c>
      <c r="X249" t="s">
        <v>72</v>
      </c>
      <c r="Y249">
        <v>0</v>
      </c>
      <c r="Z249">
        <v>0</v>
      </c>
      <c r="AC249" t="s">
        <v>73</v>
      </c>
      <c r="AD249" t="s">
        <v>72</v>
      </c>
      <c r="AE249" t="s">
        <v>72</v>
      </c>
      <c r="AF249" t="s">
        <v>72</v>
      </c>
      <c r="AG249">
        <v>0</v>
      </c>
      <c r="AH249">
        <v>0</v>
      </c>
      <c r="AK249" t="s">
        <v>73</v>
      </c>
      <c r="AL249" t="s">
        <v>72</v>
      </c>
      <c r="AM249" t="s">
        <v>72</v>
      </c>
      <c r="AN249" t="s">
        <v>72</v>
      </c>
      <c r="AO249">
        <v>0</v>
      </c>
      <c r="AP249">
        <v>0</v>
      </c>
      <c r="AS249" t="s">
        <v>73</v>
      </c>
      <c r="AT249" t="s">
        <v>72</v>
      </c>
      <c r="AU249" t="s">
        <v>72</v>
      </c>
      <c r="AV249" t="s">
        <v>72</v>
      </c>
      <c r="AY249">
        <v>0</v>
      </c>
    </row>
    <row r="250" spans="1:51" x14ac:dyDescent="0.2">
      <c r="A250" t="s">
        <v>1026</v>
      </c>
      <c r="B250" t="s">
        <v>199</v>
      </c>
      <c r="C250" t="s">
        <v>200</v>
      </c>
      <c r="D250" t="s">
        <v>465</v>
      </c>
      <c r="E250" t="s">
        <v>466</v>
      </c>
      <c r="F250" t="s">
        <v>467</v>
      </c>
      <c r="G250" t="s">
        <v>1020</v>
      </c>
      <c r="H250" t="s">
        <v>1021</v>
      </c>
      <c r="I250" t="s">
        <v>1027</v>
      </c>
      <c r="J250" t="s">
        <v>1023</v>
      </c>
      <c r="K250" t="s">
        <v>72</v>
      </c>
      <c r="O250" t="s">
        <v>1023</v>
      </c>
      <c r="Q250">
        <v>0</v>
      </c>
      <c r="R250">
        <v>0</v>
      </c>
      <c r="U250" t="s">
        <v>73</v>
      </c>
      <c r="V250" t="s">
        <v>72</v>
      </c>
      <c r="W250" t="s">
        <v>72</v>
      </c>
      <c r="X250" t="s">
        <v>72</v>
      </c>
      <c r="Y250">
        <v>0</v>
      </c>
      <c r="Z250">
        <v>0</v>
      </c>
      <c r="AC250" t="s">
        <v>73</v>
      </c>
      <c r="AD250" t="s">
        <v>72</v>
      </c>
      <c r="AE250" t="s">
        <v>72</v>
      </c>
      <c r="AF250" t="s">
        <v>72</v>
      </c>
      <c r="AG250">
        <v>0</v>
      </c>
      <c r="AH250">
        <v>0</v>
      </c>
      <c r="AK250" t="s">
        <v>73</v>
      </c>
      <c r="AL250" t="s">
        <v>72</v>
      </c>
      <c r="AM250" t="s">
        <v>72</v>
      </c>
      <c r="AN250" t="s">
        <v>72</v>
      </c>
      <c r="AO250">
        <v>0</v>
      </c>
      <c r="AP250">
        <v>0</v>
      </c>
      <c r="AS250" t="s">
        <v>73</v>
      </c>
      <c r="AT250" t="s">
        <v>72</v>
      </c>
      <c r="AU250" t="s">
        <v>72</v>
      </c>
      <c r="AV250" t="s">
        <v>72</v>
      </c>
      <c r="AY250">
        <v>0</v>
      </c>
    </row>
    <row r="251" spans="1:51" x14ac:dyDescent="0.2">
      <c r="A251" t="s">
        <v>1028</v>
      </c>
      <c r="B251" t="s">
        <v>199</v>
      </c>
      <c r="C251" t="s">
        <v>200</v>
      </c>
      <c r="D251" t="s">
        <v>465</v>
      </c>
      <c r="E251" t="s">
        <v>466</v>
      </c>
      <c r="F251" t="s">
        <v>467</v>
      </c>
      <c r="G251" t="s">
        <v>1020</v>
      </c>
      <c r="H251" t="s">
        <v>1021</v>
      </c>
      <c r="I251" t="s">
        <v>1029</v>
      </c>
      <c r="J251" t="s">
        <v>1023</v>
      </c>
      <c r="K251" t="s">
        <v>72</v>
      </c>
      <c r="O251" t="s">
        <v>1023</v>
      </c>
      <c r="Q251">
        <v>0</v>
      </c>
      <c r="R251">
        <v>0</v>
      </c>
      <c r="U251" t="s">
        <v>73</v>
      </c>
      <c r="V251" t="s">
        <v>72</v>
      </c>
      <c r="W251" t="s">
        <v>72</v>
      </c>
      <c r="X251" t="s">
        <v>72</v>
      </c>
      <c r="Y251">
        <v>0</v>
      </c>
      <c r="Z251">
        <v>0</v>
      </c>
      <c r="AC251" t="s">
        <v>73</v>
      </c>
      <c r="AD251" t="s">
        <v>72</v>
      </c>
      <c r="AE251" t="s">
        <v>72</v>
      </c>
      <c r="AF251" t="s">
        <v>72</v>
      </c>
      <c r="AG251">
        <v>0</v>
      </c>
      <c r="AH251">
        <v>0</v>
      </c>
      <c r="AK251" t="s">
        <v>73</v>
      </c>
      <c r="AL251" t="s">
        <v>72</v>
      </c>
      <c r="AM251" t="s">
        <v>72</v>
      </c>
      <c r="AN251" t="s">
        <v>72</v>
      </c>
      <c r="AO251">
        <v>0</v>
      </c>
      <c r="AP251">
        <v>0</v>
      </c>
      <c r="AS251" t="s">
        <v>73</v>
      </c>
      <c r="AT251" t="s">
        <v>72</v>
      </c>
      <c r="AU251" t="s">
        <v>72</v>
      </c>
      <c r="AV251" t="s">
        <v>72</v>
      </c>
      <c r="AY251">
        <v>0</v>
      </c>
    </row>
    <row r="252" spans="1:51" x14ac:dyDescent="0.2">
      <c r="A252" t="s">
        <v>1030</v>
      </c>
      <c r="B252" t="s">
        <v>199</v>
      </c>
      <c r="C252" t="s">
        <v>200</v>
      </c>
      <c r="D252" t="s">
        <v>465</v>
      </c>
      <c r="E252" t="s">
        <v>466</v>
      </c>
      <c r="F252" t="s">
        <v>467</v>
      </c>
      <c r="G252" t="s">
        <v>1031</v>
      </c>
      <c r="H252" t="s">
        <v>1032</v>
      </c>
      <c r="I252" t="s">
        <v>1033</v>
      </c>
      <c r="J252" t="s">
        <v>1034</v>
      </c>
      <c r="K252" t="s">
        <v>72</v>
      </c>
      <c r="O252" t="s">
        <v>1034</v>
      </c>
      <c r="Q252">
        <v>0</v>
      </c>
      <c r="R252">
        <v>0</v>
      </c>
      <c r="U252" t="s">
        <v>73</v>
      </c>
      <c r="V252" t="s">
        <v>72</v>
      </c>
      <c r="W252" t="s">
        <v>72</v>
      </c>
      <c r="X252" t="s">
        <v>72</v>
      </c>
      <c r="Y252">
        <v>0</v>
      </c>
      <c r="Z252">
        <v>0</v>
      </c>
      <c r="AC252" t="s">
        <v>73</v>
      </c>
      <c r="AD252" t="s">
        <v>72</v>
      </c>
      <c r="AE252" t="s">
        <v>72</v>
      </c>
      <c r="AF252" t="s">
        <v>72</v>
      </c>
      <c r="AG252">
        <v>0</v>
      </c>
      <c r="AH252">
        <v>0</v>
      </c>
      <c r="AK252" t="s">
        <v>73</v>
      </c>
      <c r="AL252" t="s">
        <v>72</v>
      </c>
      <c r="AM252" t="s">
        <v>72</v>
      </c>
      <c r="AN252" t="s">
        <v>72</v>
      </c>
      <c r="AO252">
        <v>0</v>
      </c>
      <c r="AP252">
        <v>0</v>
      </c>
      <c r="AS252" t="s">
        <v>73</v>
      </c>
      <c r="AT252" t="s">
        <v>72</v>
      </c>
      <c r="AU252" t="s">
        <v>72</v>
      </c>
      <c r="AV252" t="s">
        <v>72</v>
      </c>
      <c r="AY252">
        <v>0</v>
      </c>
    </row>
    <row r="253" spans="1:51" x14ac:dyDescent="0.2">
      <c r="A253" t="s">
        <v>1035</v>
      </c>
      <c r="B253" t="s">
        <v>199</v>
      </c>
      <c r="C253" t="s">
        <v>200</v>
      </c>
      <c r="D253" t="s">
        <v>465</v>
      </c>
      <c r="E253" t="s">
        <v>466</v>
      </c>
      <c r="F253" t="s">
        <v>467</v>
      </c>
      <c r="G253" t="s">
        <v>1031</v>
      </c>
      <c r="H253" t="s">
        <v>1032</v>
      </c>
      <c r="I253" t="s">
        <v>1036</v>
      </c>
      <c r="J253" t="s">
        <v>1034</v>
      </c>
      <c r="K253" t="s">
        <v>72</v>
      </c>
      <c r="O253" t="s">
        <v>1034</v>
      </c>
      <c r="Q253">
        <v>0</v>
      </c>
      <c r="R253">
        <v>0</v>
      </c>
      <c r="U253" t="s">
        <v>73</v>
      </c>
      <c r="V253" t="s">
        <v>72</v>
      </c>
      <c r="W253" t="s">
        <v>72</v>
      </c>
      <c r="X253" t="s">
        <v>72</v>
      </c>
      <c r="Y253">
        <v>0</v>
      </c>
      <c r="Z253">
        <v>0</v>
      </c>
      <c r="AC253" t="s">
        <v>73</v>
      </c>
      <c r="AD253" t="s">
        <v>72</v>
      </c>
      <c r="AE253" t="s">
        <v>72</v>
      </c>
      <c r="AF253" t="s">
        <v>72</v>
      </c>
      <c r="AG253">
        <v>0</v>
      </c>
      <c r="AH253">
        <v>0</v>
      </c>
      <c r="AK253" t="s">
        <v>73</v>
      </c>
      <c r="AL253" t="s">
        <v>72</v>
      </c>
      <c r="AM253" t="s">
        <v>72</v>
      </c>
      <c r="AN253" t="s">
        <v>72</v>
      </c>
      <c r="AO253">
        <v>0</v>
      </c>
      <c r="AP253">
        <v>0</v>
      </c>
      <c r="AS253" t="s">
        <v>73</v>
      </c>
      <c r="AT253" t="s">
        <v>72</v>
      </c>
      <c r="AU253" t="s">
        <v>72</v>
      </c>
      <c r="AV253" t="s">
        <v>72</v>
      </c>
      <c r="AY253">
        <v>0</v>
      </c>
    </row>
    <row r="254" spans="1:51" x14ac:dyDescent="0.2">
      <c r="A254" t="s">
        <v>1037</v>
      </c>
      <c r="B254" t="s">
        <v>199</v>
      </c>
      <c r="C254" t="s">
        <v>200</v>
      </c>
      <c r="D254" t="s">
        <v>465</v>
      </c>
      <c r="E254" t="s">
        <v>466</v>
      </c>
      <c r="F254" t="s">
        <v>467</v>
      </c>
      <c r="G254" t="s">
        <v>1031</v>
      </c>
      <c r="H254" t="s">
        <v>1032</v>
      </c>
      <c r="I254" t="s">
        <v>1038</v>
      </c>
      <c r="J254" t="s">
        <v>1034</v>
      </c>
      <c r="K254" t="s">
        <v>72</v>
      </c>
      <c r="O254" t="s">
        <v>1034</v>
      </c>
      <c r="Q254">
        <v>0</v>
      </c>
      <c r="R254">
        <v>0</v>
      </c>
      <c r="U254" t="s">
        <v>73</v>
      </c>
      <c r="V254" t="s">
        <v>72</v>
      </c>
      <c r="W254" t="s">
        <v>72</v>
      </c>
      <c r="X254" t="s">
        <v>72</v>
      </c>
      <c r="Y254">
        <v>0</v>
      </c>
      <c r="Z254">
        <v>0</v>
      </c>
      <c r="AC254" t="s">
        <v>73</v>
      </c>
      <c r="AD254" t="s">
        <v>72</v>
      </c>
      <c r="AE254" t="s">
        <v>72</v>
      </c>
      <c r="AF254" t="s">
        <v>72</v>
      </c>
      <c r="AG254">
        <v>0</v>
      </c>
      <c r="AH254">
        <v>0</v>
      </c>
      <c r="AK254" t="s">
        <v>73</v>
      </c>
      <c r="AL254" t="s">
        <v>72</v>
      </c>
      <c r="AM254" t="s">
        <v>72</v>
      </c>
      <c r="AN254" t="s">
        <v>72</v>
      </c>
      <c r="AO254">
        <v>0</v>
      </c>
      <c r="AP254">
        <v>0</v>
      </c>
      <c r="AS254" t="s">
        <v>73</v>
      </c>
      <c r="AT254" t="s">
        <v>72</v>
      </c>
      <c r="AU254" t="s">
        <v>72</v>
      </c>
      <c r="AV254" t="s">
        <v>72</v>
      </c>
      <c r="AY254">
        <v>0</v>
      </c>
    </row>
    <row r="255" spans="1:51" x14ac:dyDescent="0.2">
      <c r="A255" t="s">
        <v>1039</v>
      </c>
      <c r="B255" t="s">
        <v>199</v>
      </c>
      <c r="C255" t="s">
        <v>200</v>
      </c>
      <c r="D255" t="s">
        <v>465</v>
      </c>
      <c r="E255" t="s">
        <v>466</v>
      </c>
      <c r="F255" t="s">
        <v>467</v>
      </c>
      <c r="G255" t="s">
        <v>1040</v>
      </c>
      <c r="H255" t="s">
        <v>1041</v>
      </c>
      <c r="I255" t="s">
        <v>1042</v>
      </c>
      <c r="J255" t="s">
        <v>1043</v>
      </c>
      <c r="K255" t="s">
        <v>72</v>
      </c>
      <c r="O255" t="s">
        <v>1043</v>
      </c>
      <c r="Q255">
        <v>0</v>
      </c>
      <c r="R255">
        <v>0</v>
      </c>
      <c r="U255" t="s">
        <v>73</v>
      </c>
      <c r="V255" t="s">
        <v>72</v>
      </c>
      <c r="W255" t="s">
        <v>72</v>
      </c>
      <c r="X255" t="s">
        <v>72</v>
      </c>
      <c r="Y255">
        <v>0</v>
      </c>
      <c r="Z255">
        <v>0</v>
      </c>
      <c r="AC255" t="s">
        <v>73</v>
      </c>
      <c r="AD255" t="s">
        <v>72</v>
      </c>
      <c r="AE255" t="s">
        <v>72</v>
      </c>
      <c r="AF255" t="s">
        <v>72</v>
      </c>
      <c r="AG255">
        <v>0</v>
      </c>
      <c r="AH255">
        <v>0</v>
      </c>
      <c r="AK255" t="s">
        <v>73</v>
      </c>
      <c r="AL255" t="s">
        <v>72</v>
      </c>
      <c r="AM255" t="s">
        <v>72</v>
      </c>
      <c r="AN255" t="s">
        <v>72</v>
      </c>
      <c r="AO255">
        <v>0</v>
      </c>
      <c r="AP255">
        <v>0</v>
      </c>
      <c r="AS255" t="s">
        <v>73</v>
      </c>
      <c r="AT255" t="s">
        <v>72</v>
      </c>
      <c r="AU255" t="s">
        <v>72</v>
      </c>
      <c r="AV255" t="s">
        <v>72</v>
      </c>
      <c r="AY255">
        <v>0</v>
      </c>
    </row>
    <row r="256" spans="1:51" x14ac:dyDescent="0.2">
      <c r="A256" t="s">
        <v>1044</v>
      </c>
      <c r="B256" t="s">
        <v>199</v>
      </c>
      <c r="C256" t="s">
        <v>200</v>
      </c>
      <c r="D256" t="s">
        <v>465</v>
      </c>
      <c r="E256" t="s">
        <v>466</v>
      </c>
      <c r="F256" t="s">
        <v>467</v>
      </c>
      <c r="G256" t="s">
        <v>1040</v>
      </c>
      <c r="H256" t="s">
        <v>1041</v>
      </c>
      <c r="I256" t="s">
        <v>1045</v>
      </c>
      <c r="J256" t="s">
        <v>1043</v>
      </c>
      <c r="K256" t="s">
        <v>72</v>
      </c>
      <c r="O256" t="s">
        <v>1043</v>
      </c>
      <c r="Q256">
        <v>0</v>
      </c>
      <c r="R256">
        <v>0</v>
      </c>
      <c r="U256" t="s">
        <v>73</v>
      </c>
      <c r="V256" t="s">
        <v>72</v>
      </c>
      <c r="W256" t="s">
        <v>72</v>
      </c>
      <c r="X256" t="s">
        <v>72</v>
      </c>
      <c r="Y256">
        <v>0</v>
      </c>
      <c r="Z256">
        <v>0</v>
      </c>
      <c r="AC256" t="s">
        <v>73</v>
      </c>
      <c r="AD256" t="s">
        <v>72</v>
      </c>
      <c r="AE256" t="s">
        <v>72</v>
      </c>
      <c r="AF256" t="s">
        <v>72</v>
      </c>
      <c r="AG256">
        <v>0</v>
      </c>
      <c r="AH256">
        <v>0</v>
      </c>
      <c r="AK256" t="s">
        <v>73</v>
      </c>
      <c r="AL256" t="s">
        <v>72</v>
      </c>
      <c r="AM256" t="s">
        <v>72</v>
      </c>
      <c r="AN256" t="s">
        <v>72</v>
      </c>
      <c r="AO256">
        <v>0</v>
      </c>
      <c r="AP256">
        <v>0</v>
      </c>
      <c r="AS256" t="s">
        <v>73</v>
      </c>
      <c r="AT256" t="s">
        <v>72</v>
      </c>
      <c r="AU256" t="s">
        <v>72</v>
      </c>
      <c r="AV256" t="s">
        <v>72</v>
      </c>
      <c r="AY256">
        <v>0</v>
      </c>
    </row>
    <row r="257" spans="1:51" x14ac:dyDescent="0.2">
      <c r="A257" t="s">
        <v>1046</v>
      </c>
      <c r="B257" t="s">
        <v>199</v>
      </c>
      <c r="C257" t="s">
        <v>200</v>
      </c>
      <c r="D257" t="s">
        <v>465</v>
      </c>
      <c r="E257" t="s">
        <v>466</v>
      </c>
      <c r="F257" t="s">
        <v>467</v>
      </c>
      <c r="G257" t="s">
        <v>1040</v>
      </c>
      <c r="H257" t="s">
        <v>1041</v>
      </c>
      <c r="I257" t="s">
        <v>1047</v>
      </c>
      <c r="J257" t="s">
        <v>1043</v>
      </c>
      <c r="K257" t="s">
        <v>72</v>
      </c>
      <c r="O257" t="s">
        <v>1043</v>
      </c>
      <c r="Q257">
        <v>0</v>
      </c>
      <c r="R257">
        <v>0</v>
      </c>
      <c r="U257" t="s">
        <v>73</v>
      </c>
      <c r="V257" t="s">
        <v>72</v>
      </c>
      <c r="W257" t="s">
        <v>72</v>
      </c>
      <c r="X257" t="s">
        <v>72</v>
      </c>
      <c r="Y257">
        <v>0</v>
      </c>
      <c r="Z257">
        <v>0</v>
      </c>
      <c r="AC257" t="s">
        <v>73</v>
      </c>
      <c r="AD257" t="s">
        <v>72</v>
      </c>
      <c r="AE257" t="s">
        <v>72</v>
      </c>
      <c r="AF257" t="s">
        <v>72</v>
      </c>
      <c r="AG257">
        <v>0</v>
      </c>
      <c r="AH257">
        <v>0</v>
      </c>
      <c r="AK257" t="s">
        <v>73</v>
      </c>
      <c r="AL257" t="s">
        <v>72</v>
      </c>
      <c r="AM257" t="s">
        <v>72</v>
      </c>
      <c r="AN257" t="s">
        <v>72</v>
      </c>
      <c r="AO257">
        <v>0</v>
      </c>
      <c r="AP257">
        <v>0</v>
      </c>
      <c r="AS257" t="s">
        <v>73</v>
      </c>
      <c r="AT257" t="s">
        <v>72</v>
      </c>
      <c r="AU257" t="s">
        <v>72</v>
      </c>
      <c r="AV257" t="s">
        <v>72</v>
      </c>
      <c r="AY257">
        <v>0</v>
      </c>
    </row>
    <row r="258" spans="1:51" x14ac:dyDescent="0.2">
      <c r="A258" t="s">
        <v>1048</v>
      </c>
      <c r="B258" t="s">
        <v>199</v>
      </c>
      <c r="C258" t="s">
        <v>200</v>
      </c>
      <c r="D258" t="s">
        <v>465</v>
      </c>
      <c r="E258" t="s">
        <v>466</v>
      </c>
      <c r="F258" t="s">
        <v>467</v>
      </c>
      <c r="G258" t="s">
        <v>1040</v>
      </c>
      <c r="H258" t="s">
        <v>1041</v>
      </c>
      <c r="I258" t="s">
        <v>1049</v>
      </c>
      <c r="J258" t="s">
        <v>1043</v>
      </c>
      <c r="K258" t="s">
        <v>72</v>
      </c>
      <c r="O258" t="s">
        <v>1043</v>
      </c>
      <c r="Q258">
        <v>0</v>
      </c>
      <c r="R258">
        <v>0</v>
      </c>
      <c r="U258" t="s">
        <v>73</v>
      </c>
      <c r="V258" t="s">
        <v>72</v>
      </c>
      <c r="W258" t="s">
        <v>72</v>
      </c>
      <c r="X258" t="s">
        <v>72</v>
      </c>
      <c r="Y258">
        <v>0</v>
      </c>
      <c r="Z258">
        <v>0</v>
      </c>
      <c r="AC258" t="s">
        <v>73</v>
      </c>
      <c r="AD258" t="s">
        <v>72</v>
      </c>
      <c r="AE258" t="s">
        <v>72</v>
      </c>
      <c r="AF258" t="s">
        <v>72</v>
      </c>
      <c r="AG258">
        <v>0</v>
      </c>
      <c r="AH258">
        <v>0</v>
      </c>
      <c r="AK258" t="s">
        <v>73</v>
      </c>
      <c r="AL258" t="s">
        <v>72</v>
      </c>
      <c r="AM258" t="s">
        <v>72</v>
      </c>
      <c r="AN258" t="s">
        <v>72</v>
      </c>
      <c r="AO258">
        <v>0</v>
      </c>
      <c r="AP258">
        <v>0</v>
      </c>
      <c r="AS258" t="s">
        <v>73</v>
      </c>
      <c r="AT258" t="s">
        <v>72</v>
      </c>
      <c r="AU258" t="s">
        <v>72</v>
      </c>
      <c r="AV258" t="s">
        <v>72</v>
      </c>
      <c r="AY258">
        <v>0</v>
      </c>
    </row>
    <row r="259" spans="1:51" x14ac:dyDescent="0.2">
      <c r="A259" t="s">
        <v>1050</v>
      </c>
      <c r="B259" t="s">
        <v>199</v>
      </c>
      <c r="C259" t="s">
        <v>200</v>
      </c>
      <c r="D259" t="s">
        <v>465</v>
      </c>
      <c r="E259" t="s">
        <v>466</v>
      </c>
      <c r="F259" t="s">
        <v>467</v>
      </c>
      <c r="G259" t="s">
        <v>1051</v>
      </c>
      <c r="H259" t="s">
        <v>1052</v>
      </c>
      <c r="I259" t="s">
        <v>1053</v>
      </c>
      <c r="J259" t="s">
        <v>1054</v>
      </c>
      <c r="K259" t="s">
        <v>72</v>
      </c>
      <c r="O259" t="s">
        <v>1054</v>
      </c>
      <c r="Q259">
        <v>0</v>
      </c>
      <c r="R259">
        <v>0</v>
      </c>
      <c r="U259" t="s">
        <v>73</v>
      </c>
      <c r="V259" t="s">
        <v>72</v>
      </c>
      <c r="W259" t="s">
        <v>72</v>
      </c>
      <c r="X259" t="s">
        <v>72</v>
      </c>
      <c r="Y259">
        <v>0</v>
      </c>
      <c r="Z259">
        <v>0</v>
      </c>
      <c r="AC259" t="s">
        <v>73</v>
      </c>
      <c r="AD259" t="s">
        <v>72</v>
      </c>
      <c r="AE259" t="s">
        <v>72</v>
      </c>
      <c r="AF259" t="s">
        <v>72</v>
      </c>
      <c r="AG259">
        <v>0</v>
      </c>
      <c r="AH259">
        <v>0</v>
      </c>
      <c r="AK259" t="s">
        <v>73</v>
      </c>
      <c r="AL259" t="s">
        <v>72</v>
      </c>
      <c r="AM259" t="s">
        <v>72</v>
      </c>
      <c r="AN259" t="s">
        <v>72</v>
      </c>
      <c r="AO259">
        <v>0</v>
      </c>
      <c r="AP259">
        <v>0</v>
      </c>
      <c r="AS259" t="s">
        <v>73</v>
      </c>
      <c r="AT259" t="s">
        <v>72</v>
      </c>
      <c r="AU259" t="s">
        <v>72</v>
      </c>
      <c r="AV259" t="s">
        <v>72</v>
      </c>
      <c r="AY259">
        <v>0</v>
      </c>
    </row>
    <row r="260" spans="1:51" x14ac:dyDescent="0.2">
      <c r="A260" t="s">
        <v>1055</v>
      </c>
      <c r="B260" t="s">
        <v>199</v>
      </c>
      <c r="C260" t="s">
        <v>200</v>
      </c>
      <c r="D260" t="s">
        <v>465</v>
      </c>
      <c r="E260" t="s">
        <v>466</v>
      </c>
      <c r="F260" t="s">
        <v>467</v>
      </c>
      <c r="G260" t="s">
        <v>1051</v>
      </c>
      <c r="H260" t="s">
        <v>1052</v>
      </c>
      <c r="I260" t="s">
        <v>1056</v>
      </c>
      <c r="J260" t="s">
        <v>1054</v>
      </c>
      <c r="K260" t="s">
        <v>72</v>
      </c>
      <c r="O260" t="s">
        <v>1054</v>
      </c>
      <c r="Q260">
        <v>0</v>
      </c>
      <c r="R260">
        <v>0</v>
      </c>
      <c r="U260" t="s">
        <v>73</v>
      </c>
      <c r="V260" t="s">
        <v>72</v>
      </c>
      <c r="W260" t="s">
        <v>72</v>
      </c>
      <c r="X260" t="s">
        <v>72</v>
      </c>
      <c r="Y260">
        <v>0</v>
      </c>
      <c r="Z260">
        <v>0</v>
      </c>
      <c r="AC260" t="s">
        <v>73</v>
      </c>
      <c r="AD260" t="s">
        <v>72</v>
      </c>
      <c r="AE260" t="s">
        <v>72</v>
      </c>
      <c r="AF260" t="s">
        <v>72</v>
      </c>
      <c r="AG260">
        <v>0</v>
      </c>
      <c r="AH260">
        <v>0</v>
      </c>
      <c r="AK260" t="s">
        <v>73</v>
      </c>
      <c r="AL260" t="s">
        <v>72</v>
      </c>
      <c r="AM260" t="s">
        <v>72</v>
      </c>
      <c r="AN260" t="s">
        <v>72</v>
      </c>
      <c r="AO260">
        <v>0</v>
      </c>
      <c r="AP260">
        <v>0</v>
      </c>
      <c r="AS260" t="s">
        <v>73</v>
      </c>
      <c r="AT260" t="s">
        <v>72</v>
      </c>
      <c r="AU260" t="s">
        <v>72</v>
      </c>
      <c r="AV260" t="s">
        <v>72</v>
      </c>
      <c r="AY260">
        <v>0</v>
      </c>
    </row>
    <row r="261" spans="1:51" x14ac:dyDescent="0.2">
      <c r="A261" t="s">
        <v>1057</v>
      </c>
      <c r="B261" t="s">
        <v>199</v>
      </c>
      <c r="C261" t="s">
        <v>200</v>
      </c>
      <c r="D261" t="s">
        <v>465</v>
      </c>
      <c r="E261" t="s">
        <v>466</v>
      </c>
      <c r="F261" t="s">
        <v>467</v>
      </c>
      <c r="G261" t="s">
        <v>1051</v>
      </c>
      <c r="H261" t="s">
        <v>1052</v>
      </c>
      <c r="I261" t="s">
        <v>1058</v>
      </c>
      <c r="J261" t="s">
        <v>1054</v>
      </c>
      <c r="K261" t="s">
        <v>72</v>
      </c>
      <c r="O261" t="s">
        <v>1054</v>
      </c>
      <c r="Q261">
        <v>0</v>
      </c>
      <c r="R261">
        <v>0</v>
      </c>
      <c r="U261" t="s">
        <v>73</v>
      </c>
      <c r="V261" t="s">
        <v>72</v>
      </c>
      <c r="W261" t="s">
        <v>72</v>
      </c>
      <c r="X261" t="s">
        <v>72</v>
      </c>
      <c r="Y261">
        <v>0</v>
      </c>
      <c r="Z261">
        <v>0</v>
      </c>
      <c r="AC261" t="s">
        <v>73</v>
      </c>
      <c r="AD261" t="s">
        <v>72</v>
      </c>
      <c r="AE261" t="s">
        <v>72</v>
      </c>
      <c r="AF261" t="s">
        <v>72</v>
      </c>
      <c r="AG261">
        <v>0</v>
      </c>
      <c r="AH261">
        <v>0</v>
      </c>
      <c r="AK261" t="s">
        <v>73</v>
      </c>
      <c r="AL261" t="s">
        <v>72</v>
      </c>
      <c r="AM261" t="s">
        <v>72</v>
      </c>
      <c r="AN261" t="s">
        <v>72</v>
      </c>
      <c r="AO261">
        <v>0</v>
      </c>
      <c r="AP261">
        <v>0</v>
      </c>
      <c r="AS261" t="s">
        <v>73</v>
      </c>
      <c r="AT261" t="s">
        <v>72</v>
      </c>
      <c r="AU261" t="s">
        <v>72</v>
      </c>
      <c r="AV261" t="s">
        <v>72</v>
      </c>
      <c r="AY261">
        <v>0</v>
      </c>
    </row>
    <row r="262" spans="1:51" x14ac:dyDescent="0.2">
      <c r="A262" t="s">
        <v>1059</v>
      </c>
      <c r="B262" t="s">
        <v>199</v>
      </c>
      <c r="C262" t="s">
        <v>200</v>
      </c>
      <c r="D262" t="s">
        <v>201</v>
      </c>
      <c r="E262" t="s">
        <v>202</v>
      </c>
      <c r="F262" t="s">
        <v>203</v>
      </c>
      <c r="G262" t="s">
        <v>204</v>
      </c>
      <c r="H262" t="s">
        <v>205</v>
      </c>
      <c r="I262" t="s">
        <v>1060</v>
      </c>
      <c r="J262" t="s">
        <v>208</v>
      </c>
      <c r="K262" t="s">
        <v>72</v>
      </c>
      <c r="O262" t="s">
        <v>208</v>
      </c>
      <c r="Q262">
        <v>0</v>
      </c>
      <c r="R262">
        <v>0</v>
      </c>
      <c r="U262" t="s">
        <v>73</v>
      </c>
      <c r="V262" t="s">
        <v>72</v>
      </c>
      <c r="W262" t="s">
        <v>72</v>
      </c>
      <c r="X262" t="s">
        <v>72</v>
      </c>
      <c r="Y262">
        <v>0</v>
      </c>
      <c r="Z262">
        <v>0</v>
      </c>
      <c r="AC262" t="s">
        <v>73</v>
      </c>
      <c r="AD262" t="s">
        <v>72</v>
      </c>
      <c r="AE262" t="s">
        <v>72</v>
      </c>
      <c r="AF262" t="s">
        <v>72</v>
      </c>
      <c r="AG262">
        <v>0</v>
      </c>
      <c r="AH262">
        <v>0</v>
      </c>
      <c r="AK262" t="s">
        <v>73</v>
      </c>
      <c r="AL262" t="s">
        <v>72</v>
      </c>
      <c r="AM262" t="s">
        <v>72</v>
      </c>
      <c r="AN262" t="s">
        <v>72</v>
      </c>
      <c r="AO262">
        <v>0</v>
      </c>
      <c r="AP262">
        <v>0</v>
      </c>
      <c r="AS262" t="s">
        <v>73</v>
      </c>
      <c r="AT262" t="s">
        <v>72</v>
      </c>
      <c r="AU262" t="s">
        <v>72</v>
      </c>
      <c r="AV262" t="s">
        <v>72</v>
      </c>
      <c r="AY262">
        <v>0</v>
      </c>
    </row>
    <row r="263" spans="1:51" x14ac:dyDescent="0.2">
      <c r="A263" t="s">
        <v>1061</v>
      </c>
      <c r="B263" t="s">
        <v>199</v>
      </c>
      <c r="C263" t="s">
        <v>200</v>
      </c>
      <c r="D263" t="s">
        <v>201</v>
      </c>
      <c r="E263" t="s">
        <v>202</v>
      </c>
      <c r="F263" t="s">
        <v>203</v>
      </c>
      <c r="G263" t="s">
        <v>204</v>
      </c>
      <c r="H263" t="s">
        <v>205</v>
      </c>
      <c r="I263" t="s">
        <v>1062</v>
      </c>
      <c r="J263" t="s">
        <v>208</v>
      </c>
      <c r="K263" t="s">
        <v>72</v>
      </c>
      <c r="O263" t="s">
        <v>208</v>
      </c>
      <c r="Q263">
        <v>0</v>
      </c>
      <c r="R263">
        <v>0</v>
      </c>
      <c r="U263" t="s">
        <v>73</v>
      </c>
      <c r="V263" t="s">
        <v>72</v>
      </c>
      <c r="W263" t="s">
        <v>72</v>
      </c>
      <c r="X263" t="s">
        <v>72</v>
      </c>
      <c r="Y263">
        <v>0</v>
      </c>
      <c r="Z263">
        <v>0</v>
      </c>
      <c r="AC263" t="s">
        <v>73</v>
      </c>
      <c r="AD263" t="s">
        <v>72</v>
      </c>
      <c r="AE263" t="s">
        <v>72</v>
      </c>
      <c r="AF263" t="s">
        <v>72</v>
      </c>
      <c r="AG263">
        <v>0</v>
      </c>
      <c r="AH263">
        <v>0</v>
      </c>
      <c r="AK263" t="s">
        <v>73</v>
      </c>
      <c r="AL263" t="s">
        <v>72</v>
      </c>
      <c r="AM263" t="s">
        <v>72</v>
      </c>
      <c r="AN263" t="s">
        <v>72</v>
      </c>
      <c r="AO263">
        <v>0</v>
      </c>
      <c r="AP263">
        <v>0</v>
      </c>
      <c r="AS263" t="s">
        <v>73</v>
      </c>
      <c r="AT263" t="s">
        <v>72</v>
      </c>
      <c r="AU263" t="s">
        <v>72</v>
      </c>
      <c r="AV263" t="s">
        <v>72</v>
      </c>
      <c r="AY263">
        <v>0</v>
      </c>
    </row>
    <row r="264" spans="1:51" x14ac:dyDescent="0.2">
      <c r="A264" t="s">
        <v>1063</v>
      </c>
      <c r="B264" t="s">
        <v>199</v>
      </c>
      <c r="C264" t="s">
        <v>200</v>
      </c>
      <c r="D264" t="s">
        <v>201</v>
      </c>
      <c r="E264" t="s">
        <v>202</v>
      </c>
      <c r="F264" t="s">
        <v>203</v>
      </c>
      <c r="G264" t="s">
        <v>204</v>
      </c>
      <c r="H264" t="s">
        <v>205</v>
      </c>
      <c r="I264" t="s">
        <v>1064</v>
      </c>
      <c r="J264" t="s">
        <v>208</v>
      </c>
      <c r="K264" t="s">
        <v>72</v>
      </c>
      <c r="O264" t="s">
        <v>208</v>
      </c>
      <c r="Q264">
        <v>0</v>
      </c>
      <c r="R264">
        <v>0</v>
      </c>
      <c r="U264" t="s">
        <v>73</v>
      </c>
      <c r="V264" t="s">
        <v>72</v>
      </c>
      <c r="W264" t="s">
        <v>72</v>
      </c>
      <c r="X264" t="s">
        <v>72</v>
      </c>
      <c r="Y264">
        <v>0</v>
      </c>
      <c r="Z264">
        <v>0</v>
      </c>
      <c r="AC264" t="s">
        <v>73</v>
      </c>
      <c r="AD264" t="s">
        <v>72</v>
      </c>
      <c r="AE264" t="s">
        <v>72</v>
      </c>
      <c r="AF264" t="s">
        <v>72</v>
      </c>
      <c r="AG264">
        <v>0</v>
      </c>
      <c r="AH264">
        <v>0</v>
      </c>
      <c r="AK264" t="s">
        <v>73</v>
      </c>
      <c r="AL264" t="s">
        <v>72</v>
      </c>
      <c r="AM264" t="s">
        <v>72</v>
      </c>
      <c r="AN264" t="s">
        <v>72</v>
      </c>
      <c r="AO264">
        <v>0</v>
      </c>
      <c r="AP264">
        <v>0</v>
      </c>
      <c r="AS264" t="s">
        <v>73</v>
      </c>
      <c r="AT264" t="s">
        <v>72</v>
      </c>
      <c r="AU264" t="s">
        <v>72</v>
      </c>
      <c r="AV264" t="s">
        <v>72</v>
      </c>
      <c r="AY264">
        <v>0</v>
      </c>
    </row>
    <row r="265" spans="1:51" x14ac:dyDescent="0.2">
      <c r="A265" t="s">
        <v>1065</v>
      </c>
      <c r="B265" t="s">
        <v>199</v>
      </c>
      <c r="C265" t="s">
        <v>200</v>
      </c>
      <c r="D265" t="s">
        <v>201</v>
      </c>
      <c r="E265" t="s">
        <v>202</v>
      </c>
      <c r="F265" t="s">
        <v>203</v>
      </c>
      <c r="G265" t="s">
        <v>204</v>
      </c>
      <c r="H265" t="s">
        <v>205</v>
      </c>
      <c r="I265" t="s">
        <v>1066</v>
      </c>
      <c r="J265" t="s">
        <v>208</v>
      </c>
      <c r="K265" t="s">
        <v>72</v>
      </c>
      <c r="O265" t="s">
        <v>208</v>
      </c>
      <c r="Q265">
        <v>0</v>
      </c>
      <c r="R265">
        <v>0</v>
      </c>
      <c r="U265" t="s">
        <v>73</v>
      </c>
      <c r="V265" t="s">
        <v>72</v>
      </c>
      <c r="W265" t="s">
        <v>72</v>
      </c>
      <c r="X265" t="s">
        <v>72</v>
      </c>
      <c r="Y265">
        <v>0</v>
      </c>
      <c r="Z265">
        <v>0</v>
      </c>
      <c r="AC265" t="s">
        <v>73</v>
      </c>
      <c r="AD265" t="s">
        <v>72</v>
      </c>
      <c r="AE265" t="s">
        <v>72</v>
      </c>
      <c r="AF265" t="s">
        <v>72</v>
      </c>
      <c r="AG265">
        <v>0</v>
      </c>
      <c r="AH265">
        <v>0</v>
      </c>
      <c r="AK265" t="s">
        <v>73</v>
      </c>
      <c r="AL265" t="s">
        <v>72</v>
      </c>
      <c r="AM265" t="s">
        <v>72</v>
      </c>
      <c r="AN265" t="s">
        <v>72</v>
      </c>
      <c r="AO265">
        <v>0</v>
      </c>
      <c r="AP265">
        <v>0</v>
      </c>
      <c r="AS265" t="s">
        <v>73</v>
      </c>
      <c r="AT265" t="s">
        <v>72</v>
      </c>
      <c r="AU265" t="s">
        <v>72</v>
      </c>
      <c r="AV265" t="s">
        <v>72</v>
      </c>
      <c r="AY265">
        <v>0</v>
      </c>
    </row>
    <row r="266" spans="1:51" x14ac:dyDescent="0.2">
      <c r="A266" t="s">
        <v>1067</v>
      </c>
      <c r="B266" t="s">
        <v>199</v>
      </c>
      <c r="C266" t="s">
        <v>200</v>
      </c>
      <c r="D266" t="s">
        <v>201</v>
      </c>
      <c r="E266" t="s">
        <v>202</v>
      </c>
      <c r="F266" t="s">
        <v>203</v>
      </c>
      <c r="G266" t="s">
        <v>1068</v>
      </c>
      <c r="H266" t="s">
        <v>1069</v>
      </c>
      <c r="I266" t="s">
        <v>1070</v>
      </c>
      <c r="J266" t="s">
        <v>1071</v>
      </c>
      <c r="K266" t="s">
        <v>72</v>
      </c>
      <c r="O266" t="s">
        <v>1071</v>
      </c>
      <c r="Q266">
        <v>0</v>
      </c>
      <c r="R266">
        <v>0</v>
      </c>
      <c r="U266" t="s">
        <v>73</v>
      </c>
      <c r="V266" t="s">
        <v>72</v>
      </c>
      <c r="W266" t="s">
        <v>72</v>
      </c>
      <c r="X266" t="s">
        <v>72</v>
      </c>
      <c r="Y266">
        <v>0</v>
      </c>
      <c r="Z266">
        <v>0</v>
      </c>
      <c r="AC266" t="s">
        <v>73</v>
      </c>
      <c r="AD266" t="s">
        <v>72</v>
      </c>
      <c r="AE266" t="s">
        <v>72</v>
      </c>
      <c r="AF266" t="s">
        <v>72</v>
      </c>
      <c r="AG266">
        <v>0</v>
      </c>
      <c r="AH266">
        <v>0</v>
      </c>
      <c r="AK266" t="s">
        <v>73</v>
      </c>
      <c r="AL266" t="s">
        <v>72</v>
      </c>
      <c r="AM266" t="s">
        <v>72</v>
      </c>
      <c r="AN266" t="s">
        <v>72</v>
      </c>
      <c r="AO266">
        <v>0</v>
      </c>
      <c r="AP266">
        <v>0</v>
      </c>
      <c r="AS266" t="s">
        <v>73</v>
      </c>
      <c r="AT266" t="s">
        <v>72</v>
      </c>
      <c r="AU266" t="s">
        <v>72</v>
      </c>
      <c r="AV266" t="s">
        <v>72</v>
      </c>
      <c r="AY266">
        <v>0</v>
      </c>
    </row>
    <row r="267" spans="1:51" x14ac:dyDescent="0.2">
      <c r="A267" t="s">
        <v>1072</v>
      </c>
      <c r="B267" t="s">
        <v>199</v>
      </c>
      <c r="C267" t="s">
        <v>200</v>
      </c>
      <c r="D267" t="s">
        <v>201</v>
      </c>
      <c r="E267" t="s">
        <v>202</v>
      </c>
      <c r="F267" t="s">
        <v>203</v>
      </c>
      <c r="G267" t="s">
        <v>1068</v>
      </c>
      <c r="H267" t="s">
        <v>1069</v>
      </c>
      <c r="I267" t="s">
        <v>1073</v>
      </c>
      <c r="J267" t="s">
        <v>1071</v>
      </c>
      <c r="K267" t="s">
        <v>72</v>
      </c>
      <c r="O267" t="s">
        <v>1071</v>
      </c>
      <c r="Q267">
        <v>0</v>
      </c>
      <c r="R267">
        <v>0</v>
      </c>
      <c r="U267" t="s">
        <v>73</v>
      </c>
      <c r="V267" t="s">
        <v>72</v>
      </c>
      <c r="W267" t="s">
        <v>72</v>
      </c>
      <c r="X267" t="s">
        <v>72</v>
      </c>
      <c r="Y267">
        <v>0</v>
      </c>
      <c r="Z267">
        <v>0</v>
      </c>
      <c r="AC267" t="s">
        <v>73</v>
      </c>
      <c r="AD267" t="s">
        <v>72</v>
      </c>
      <c r="AE267" t="s">
        <v>72</v>
      </c>
      <c r="AF267" t="s">
        <v>72</v>
      </c>
      <c r="AG267">
        <v>0</v>
      </c>
      <c r="AH267">
        <v>0</v>
      </c>
      <c r="AK267" t="s">
        <v>73</v>
      </c>
      <c r="AL267" t="s">
        <v>72</v>
      </c>
      <c r="AM267" t="s">
        <v>72</v>
      </c>
      <c r="AN267" t="s">
        <v>72</v>
      </c>
      <c r="AO267">
        <v>0</v>
      </c>
      <c r="AP267">
        <v>0</v>
      </c>
      <c r="AS267" t="s">
        <v>73</v>
      </c>
      <c r="AT267" t="s">
        <v>72</v>
      </c>
      <c r="AU267" t="s">
        <v>72</v>
      </c>
      <c r="AV267" t="s">
        <v>72</v>
      </c>
      <c r="AY267">
        <v>0</v>
      </c>
    </row>
    <row r="268" spans="1:51" x14ac:dyDescent="0.2">
      <c r="A268" t="s">
        <v>1074</v>
      </c>
      <c r="B268" t="s">
        <v>199</v>
      </c>
      <c r="C268" t="s">
        <v>200</v>
      </c>
      <c r="D268" t="s">
        <v>201</v>
      </c>
      <c r="E268" t="s">
        <v>202</v>
      </c>
      <c r="F268" t="s">
        <v>203</v>
      </c>
      <c r="G268" t="s">
        <v>1068</v>
      </c>
      <c r="H268" t="s">
        <v>1069</v>
      </c>
      <c r="I268" t="s">
        <v>1075</v>
      </c>
      <c r="J268" t="s">
        <v>1071</v>
      </c>
      <c r="K268" t="s">
        <v>72</v>
      </c>
      <c r="O268" t="s">
        <v>1071</v>
      </c>
      <c r="Q268">
        <v>0</v>
      </c>
      <c r="R268">
        <v>0</v>
      </c>
      <c r="U268" t="s">
        <v>73</v>
      </c>
      <c r="V268" t="s">
        <v>72</v>
      </c>
      <c r="W268" t="s">
        <v>72</v>
      </c>
      <c r="X268" t="s">
        <v>72</v>
      </c>
      <c r="Y268">
        <v>0</v>
      </c>
      <c r="Z268">
        <v>0</v>
      </c>
      <c r="AC268" t="s">
        <v>73</v>
      </c>
      <c r="AD268" t="s">
        <v>72</v>
      </c>
      <c r="AE268" t="s">
        <v>72</v>
      </c>
      <c r="AF268" t="s">
        <v>72</v>
      </c>
      <c r="AG268">
        <v>0</v>
      </c>
      <c r="AH268">
        <v>0</v>
      </c>
      <c r="AK268" t="s">
        <v>73</v>
      </c>
      <c r="AL268" t="s">
        <v>72</v>
      </c>
      <c r="AM268" t="s">
        <v>72</v>
      </c>
      <c r="AN268" t="s">
        <v>72</v>
      </c>
      <c r="AO268">
        <v>0</v>
      </c>
      <c r="AP268">
        <v>0</v>
      </c>
      <c r="AS268" t="s">
        <v>73</v>
      </c>
      <c r="AT268" t="s">
        <v>72</v>
      </c>
      <c r="AU268" t="s">
        <v>72</v>
      </c>
      <c r="AV268" t="s">
        <v>72</v>
      </c>
      <c r="AY268">
        <v>0</v>
      </c>
    </row>
    <row r="269" spans="1:51" x14ac:dyDescent="0.2">
      <c r="A269" t="s">
        <v>1076</v>
      </c>
      <c r="B269" t="s">
        <v>199</v>
      </c>
      <c r="C269" t="s">
        <v>200</v>
      </c>
      <c r="D269" t="s">
        <v>201</v>
      </c>
      <c r="E269" t="s">
        <v>202</v>
      </c>
      <c r="F269" t="s">
        <v>203</v>
      </c>
      <c r="G269" t="s">
        <v>1068</v>
      </c>
      <c r="H269" t="s">
        <v>1069</v>
      </c>
      <c r="I269" t="s">
        <v>1077</v>
      </c>
      <c r="J269" t="s">
        <v>1071</v>
      </c>
      <c r="K269" t="s">
        <v>72</v>
      </c>
      <c r="O269" t="s">
        <v>1071</v>
      </c>
      <c r="Q269">
        <v>0</v>
      </c>
      <c r="R269">
        <v>0</v>
      </c>
      <c r="U269" t="s">
        <v>73</v>
      </c>
      <c r="V269" t="s">
        <v>72</v>
      </c>
      <c r="W269" t="s">
        <v>72</v>
      </c>
      <c r="X269" t="s">
        <v>72</v>
      </c>
      <c r="Y269">
        <v>0</v>
      </c>
      <c r="Z269">
        <v>0</v>
      </c>
      <c r="AC269" t="s">
        <v>73</v>
      </c>
      <c r="AD269" t="s">
        <v>72</v>
      </c>
      <c r="AE269" t="s">
        <v>72</v>
      </c>
      <c r="AF269" t="s">
        <v>72</v>
      </c>
      <c r="AG269">
        <v>0</v>
      </c>
      <c r="AH269">
        <v>0</v>
      </c>
      <c r="AK269" t="s">
        <v>73</v>
      </c>
      <c r="AL269" t="s">
        <v>72</v>
      </c>
      <c r="AM269" t="s">
        <v>72</v>
      </c>
      <c r="AN269" t="s">
        <v>72</v>
      </c>
      <c r="AO269">
        <v>0</v>
      </c>
      <c r="AP269">
        <v>0</v>
      </c>
      <c r="AS269" t="s">
        <v>73</v>
      </c>
      <c r="AT269" t="s">
        <v>72</v>
      </c>
      <c r="AU269" t="s">
        <v>72</v>
      </c>
      <c r="AV269" t="s">
        <v>72</v>
      </c>
      <c r="AY269">
        <v>0</v>
      </c>
    </row>
    <row r="270" spans="1:51" x14ac:dyDescent="0.2">
      <c r="A270" t="s">
        <v>1078</v>
      </c>
      <c r="B270" t="s">
        <v>199</v>
      </c>
      <c r="C270" t="s">
        <v>200</v>
      </c>
      <c r="D270" t="s">
        <v>290</v>
      </c>
      <c r="E270" t="s">
        <v>291</v>
      </c>
      <c r="F270" t="s">
        <v>292</v>
      </c>
      <c r="G270" t="s">
        <v>293</v>
      </c>
      <c r="H270" t="s">
        <v>294</v>
      </c>
      <c r="I270" t="s">
        <v>1079</v>
      </c>
      <c r="J270" t="s">
        <v>297</v>
      </c>
      <c r="K270" t="s">
        <v>72</v>
      </c>
      <c r="O270" t="s">
        <v>297</v>
      </c>
      <c r="Q270">
        <v>0</v>
      </c>
      <c r="R270">
        <v>0</v>
      </c>
      <c r="U270" t="s">
        <v>73</v>
      </c>
      <c r="V270" t="s">
        <v>72</v>
      </c>
      <c r="W270" t="s">
        <v>72</v>
      </c>
      <c r="X270" t="s">
        <v>72</v>
      </c>
      <c r="Y270">
        <v>0</v>
      </c>
      <c r="Z270">
        <v>0</v>
      </c>
      <c r="AC270" t="s">
        <v>73</v>
      </c>
      <c r="AD270" t="s">
        <v>72</v>
      </c>
      <c r="AE270" t="s">
        <v>72</v>
      </c>
      <c r="AF270" t="s">
        <v>72</v>
      </c>
      <c r="AG270">
        <v>0</v>
      </c>
      <c r="AH270">
        <v>0</v>
      </c>
      <c r="AK270" t="s">
        <v>73</v>
      </c>
      <c r="AL270" t="s">
        <v>72</v>
      </c>
      <c r="AM270" t="s">
        <v>72</v>
      </c>
      <c r="AN270" t="s">
        <v>72</v>
      </c>
      <c r="AO270">
        <v>0</v>
      </c>
      <c r="AP270">
        <v>0</v>
      </c>
      <c r="AS270" t="s">
        <v>73</v>
      </c>
      <c r="AT270" t="s">
        <v>72</v>
      </c>
      <c r="AU270" t="s">
        <v>72</v>
      </c>
      <c r="AV270" t="s">
        <v>72</v>
      </c>
      <c r="AY270">
        <v>0</v>
      </c>
    </row>
    <row r="271" spans="1:51" x14ac:dyDescent="0.2">
      <c r="A271" t="s">
        <v>1080</v>
      </c>
      <c r="B271" t="s">
        <v>199</v>
      </c>
      <c r="C271" t="s">
        <v>200</v>
      </c>
      <c r="D271" t="s">
        <v>290</v>
      </c>
      <c r="E271" t="s">
        <v>291</v>
      </c>
      <c r="F271" t="s">
        <v>292</v>
      </c>
      <c r="G271" t="s">
        <v>293</v>
      </c>
      <c r="H271" t="s">
        <v>294</v>
      </c>
      <c r="I271" t="s">
        <v>1081</v>
      </c>
      <c r="J271" t="s">
        <v>297</v>
      </c>
      <c r="K271" t="s">
        <v>72</v>
      </c>
      <c r="O271" t="s">
        <v>297</v>
      </c>
      <c r="Q271">
        <v>0</v>
      </c>
      <c r="R271">
        <v>0</v>
      </c>
      <c r="U271" t="s">
        <v>73</v>
      </c>
      <c r="V271" t="s">
        <v>72</v>
      </c>
      <c r="W271" t="s">
        <v>72</v>
      </c>
      <c r="X271" t="s">
        <v>72</v>
      </c>
      <c r="Y271">
        <v>0</v>
      </c>
      <c r="Z271">
        <v>0</v>
      </c>
      <c r="AC271" t="s">
        <v>73</v>
      </c>
      <c r="AD271" t="s">
        <v>72</v>
      </c>
      <c r="AE271" t="s">
        <v>72</v>
      </c>
      <c r="AF271" t="s">
        <v>72</v>
      </c>
      <c r="AG271">
        <v>0</v>
      </c>
      <c r="AH271">
        <v>0</v>
      </c>
      <c r="AK271" t="s">
        <v>73</v>
      </c>
      <c r="AL271" t="s">
        <v>72</v>
      </c>
      <c r="AM271" t="s">
        <v>72</v>
      </c>
      <c r="AN271" t="s">
        <v>72</v>
      </c>
      <c r="AO271">
        <v>0</v>
      </c>
      <c r="AP271">
        <v>0</v>
      </c>
      <c r="AS271" t="s">
        <v>73</v>
      </c>
      <c r="AT271" t="s">
        <v>72</v>
      </c>
      <c r="AU271" t="s">
        <v>72</v>
      </c>
      <c r="AV271" t="s">
        <v>72</v>
      </c>
      <c r="AY271">
        <v>0</v>
      </c>
    </row>
    <row r="272" spans="1:51" x14ac:dyDescent="0.2">
      <c r="A272" t="s">
        <v>1082</v>
      </c>
      <c r="B272" t="s">
        <v>199</v>
      </c>
      <c r="C272" t="s">
        <v>200</v>
      </c>
      <c r="D272" t="s">
        <v>290</v>
      </c>
      <c r="E272" t="s">
        <v>291</v>
      </c>
      <c r="F272" t="s">
        <v>292</v>
      </c>
      <c r="G272" t="s">
        <v>293</v>
      </c>
      <c r="H272" t="s">
        <v>294</v>
      </c>
      <c r="I272" t="s">
        <v>1083</v>
      </c>
      <c r="J272" t="s">
        <v>297</v>
      </c>
      <c r="K272" t="s">
        <v>72</v>
      </c>
      <c r="O272" t="s">
        <v>297</v>
      </c>
      <c r="Q272">
        <v>0</v>
      </c>
      <c r="R272">
        <v>0</v>
      </c>
      <c r="U272" t="s">
        <v>73</v>
      </c>
      <c r="V272" t="s">
        <v>72</v>
      </c>
      <c r="W272" t="s">
        <v>72</v>
      </c>
      <c r="X272" t="s">
        <v>72</v>
      </c>
      <c r="Y272">
        <v>0</v>
      </c>
      <c r="Z272">
        <v>0</v>
      </c>
      <c r="AC272" t="s">
        <v>73</v>
      </c>
      <c r="AD272" t="s">
        <v>72</v>
      </c>
      <c r="AE272" t="s">
        <v>72</v>
      </c>
      <c r="AF272" t="s">
        <v>72</v>
      </c>
      <c r="AG272">
        <v>0</v>
      </c>
      <c r="AH272">
        <v>0</v>
      </c>
      <c r="AK272" t="s">
        <v>73</v>
      </c>
      <c r="AL272" t="s">
        <v>72</v>
      </c>
      <c r="AM272" t="s">
        <v>72</v>
      </c>
      <c r="AN272" t="s">
        <v>72</v>
      </c>
      <c r="AO272">
        <v>0</v>
      </c>
      <c r="AP272">
        <v>0</v>
      </c>
      <c r="AS272" t="s">
        <v>73</v>
      </c>
      <c r="AT272" t="s">
        <v>72</v>
      </c>
      <c r="AU272" t="s">
        <v>72</v>
      </c>
      <c r="AV272" t="s">
        <v>72</v>
      </c>
      <c r="AY272">
        <v>0</v>
      </c>
    </row>
    <row r="273" spans="1:51" x14ac:dyDescent="0.2">
      <c r="A273" t="s">
        <v>1084</v>
      </c>
      <c r="B273" t="s">
        <v>199</v>
      </c>
      <c r="C273" t="s">
        <v>200</v>
      </c>
      <c r="D273" t="s">
        <v>290</v>
      </c>
      <c r="E273" t="s">
        <v>291</v>
      </c>
      <c r="F273" t="s">
        <v>292</v>
      </c>
      <c r="G273" t="s">
        <v>293</v>
      </c>
      <c r="H273" t="s">
        <v>294</v>
      </c>
      <c r="I273" t="s">
        <v>1085</v>
      </c>
      <c r="J273" t="s">
        <v>297</v>
      </c>
      <c r="K273" t="s">
        <v>72</v>
      </c>
      <c r="O273" t="s">
        <v>297</v>
      </c>
      <c r="Q273">
        <v>0</v>
      </c>
      <c r="R273">
        <v>0</v>
      </c>
      <c r="U273" t="s">
        <v>73</v>
      </c>
      <c r="V273" t="s">
        <v>72</v>
      </c>
      <c r="W273" t="s">
        <v>72</v>
      </c>
      <c r="X273" t="s">
        <v>72</v>
      </c>
      <c r="Y273">
        <v>0</v>
      </c>
      <c r="Z273">
        <v>0</v>
      </c>
      <c r="AC273" t="s">
        <v>73</v>
      </c>
      <c r="AD273" t="s">
        <v>72</v>
      </c>
      <c r="AE273" t="s">
        <v>72</v>
      </c>
      <c r="AF273" t="s">
        <v>72</v>
      </c>
      <c r="AG273">
        <v>0</v>
      </c>
      <c r="AH273">
        <v>0</v>
      </c>
      <c r="AK273" t="s">
        <v>73</v>
      </c>
      <c r="AL273" t="s">
        <v>72</v>
      </c>
      <c r="AM273" t="s">
        <v>72</v>
      </c>
      <c r="AN273" t="s">
        <v>72</v>
      </c>
      <c r="AO273">
        <v>0</v>
      </c>
      <c r="AP273">
        <v>0</v>
      </c>
      <c r="AS273" t="s">
        <v>73</v>
      </c>
      <c r="AT273" t="s">
        <v>72</v>
      </c>
      <c r="AU273" t="s">
        <v>72</v>
      </c>
      <c r="AV273" t="s">
        <v>72</v>
      </c>
      <c r="AY273">
        <v>0</v>
      </c>
    </row>
    <row r="274" spans="1:51" x14ac:dyDescent="0.2">
      <c r="A274" t="s">
        <v>1086</v>
      </c>
      <c r="B274" t="s">
        <v>199</v>
      </c>
      <c r="C274" t="s">
        <v>200</v>
      </c>
      <c r="D274" t="s">
        <v>290</v>
      </c>
      <c r="E274" t="s">
        <v>291</v>
      </c>
      <c r="F274" t="s">
        <v>292</v>
      </c>
      <c r="G274" t="s">
        <v>1087</v>
      </c>
      <c r="H274" t="s">
        <v>1088</v>
      </c>
      <c r="I274" t="s">
        <v>1089</v>
      </c>
      <c r="J274" t="s">
        <v>1090</v>
      </c>
      <c r="K274" t="s">
        <v>72</v>
      </c>
      <c r="O274" t="s">
        <v>1090</v>
      </c>
      <c r="Q274">
        <v>0</v>
      </c>
      <c r="R274">
        <v>0</v>
      </c>
      <c r="U274" t="s">
        <v>73</v>
      </c>
      <c r="V274" t="s">
        <v>72</v>
      </c>
      <c r="W274" t="s">
        <v>72</v>
      </c>
      <c r="X274" t="s">
        <v>72</v>
      </c>
      <c r="Y274">
        <v>0</v>
      </c>
      <c r="Z274">
        <v>0</v>
      </c>
      <c r="AC274" t="s">
        <v>73</v>
      </c>
      <c r="AD274" t="s">
        <v>72</v>
      </c>
      <c r="AE274" t="s">
        <v>72</v>
      </c>
      <c r="AF274" t="s">
        <v>72</v>
      </c>
      <c r="AG274">
        <v>0</v>
      </c>
      <c r="AH274">
        <v>0</v>
      </c>
      <c r="AK274" t="s">
        <v>73</v>
      </c>
      <c r="AL274" t="s">
        <v>72</v>
      </c>
      <c r="AM274" t="s">
        <v>72</v>
      </c>
      <c r="AN274" t="s">
        <v>72</v>
      </c>
      <c r="AO274">
        <v>0</v>
      </c>
      <c r="AP274">
        <v>0</v>
      </c>
      <c r="AS274" t="s">
        <v>73</v>
      </c>
      <c r="AT274" t="s">
        <v>72</v>
      </c>
      <c r="AU274" t="s">
        <v>72</v>
      </c>
      <c r="AV274" t="s">
        <v>72</v>
      </c>
      <c r="AY274">
        <v>0</v>
      </c>
    </row>
    <row r="275" spans="1:51" x14ac:dyDescent="0.2">
      <c r="A275" t="s">
        <v>1091</v>
      </c>
      <c r="B275" t="s">
        <v>199</v>
      </c>
      <c r="C275" t="s">
        <v>200</v>
      </c>
      <c r="D275" t="s">
        <v>290</v>
      </c>
      <c r="E275" t="s">
        <v>291</v>
      </c>
      <c r="F275" t="s">
        <v>292</v>
      </c>
      <c r="G275" t="s">
        <v>1087</v>
      </c>
      <c r="H275" t="s">
        <v>1088</v>
      </c>
      <c r="I275" t="s">
        <v>1092</v>
      </c>
      <c r="J275" t="s">
        <v>1090</v>
      </c>
      <c r="K275" t="s">
        <v>72</v>
      </c>
      <c r="O275" t="s">
        <v>1090</v>
      </c>
      <c r="Q275">
        <v>0</v>
      </c>
      <c r="R275">
        <v>0</v>
      </c>
      <c r="U275" t="s">
        <v>73</v>
      </c>
      <c r="V275" t="s">
        <v>72</v>
      </c>
      <c r="W275" t="s">
        <v>72</v>
      </c>
      <c r="X275" t="s">
        <v>72</v>
      </c>
      <c r="Y275">
        <v>0</v>
      </c>
      <c r="Z275">
        <v>0</v>
      </c>
      <c r="AC275" t="s">
        <v>73</v>
      </c>
      <c r="AD275" t="s">
        <v>72</v>
      </c>
      <c r="AE275" t="s">
        <v>72</v>
      </c>
      <c r="AF275" t="s">
        <v>72</v>
      </c>
      <c r="AG275">
        <v>0</v>
      </c>
      <c r="AH275">
        <v>0</v>
      </c>
      <c r="AK275" t="s">
        <v>73</v>
      </c>
      <c r="AL275" t="s">
        <v>72</v>
      </c>
      <c r="AM275" t="s">
        <v>72</v>
      </c>
      <c r="AN275" t="s">
        <v>72</v>
      </c>
      <c r="AO275">
        <v>0</v>
      </c>
      <c r="AP275">
        <v>0</v>
      </c>
      <c r="AS275" t="s">
        <v>73</v>
      </c>
      <c r="AT275" t="s">
        <v>72</v>
      </c>
      <c r="AU275" t="s">
        <v>72</v>
      </c>
      <c r="AV275" t="s">
        <v>72</v>
      </c>
      <c r="AY275">
        <v>0</v>
      </c>
    </row>
    <row r="276" spans="1:51" x14ac:dyDescent="0.2">
      <c r="A276" t="s">
        <v>1093</v>
      </c>
      <c r="B276" t="s">
        <v>199</v>
      </c>
      <c r="C276" t="s">
        <v>200</v>
      </c>
      <c r="D276" t="s">
        <v>290</v>
      </c>
      <c r="E276" t="s">
        <v>291</v>
      </c>
      <c r="F276" t="s">
        <v>292</v>
      </c>
      <c r="G276" t="s">
        <v>1087</v>
      </c>
      <c r="H276" t="s">
        <v>1088</v>
      </c>
      <c r="I276" t="s">
        <v>1094</v>
      </c>
      <c r="J276" t="s">
        <v>1090</v>
      </c>
      <c r="K276" t="s">
        <v>72</v>
      </c>
      <c r="O276" t="s">
        <v>1090</v>
      </c>
      <c r="Q276">
        <v>0</v>
      </c>
      <c r="R276">
        <v>0</v>
      </c>
      <c r="U276" t="s">
        <v>73</v>
      </c>
      <c r="V276" t="s">
        <v>72</v>
      </c>
      <c r="W276" t="s">
        <v>72</v>
      </c>
      <c r="X276" t="s">
        <v>72</v>
      </c>
      <c r="Y276">
        <v>0</v>
      </c>
      <c r="Z276">
        <v>0</v>
      </c>
      <c r="AC276" t="s">
        <v>73</v>
      </c>
      <c r="AD276" t="s">
        <v>72</v>
      </c>
      <c r="AE276" t="s">
        <v>72</v>
      </c>
      <c r="AF276" t="s">
        <v>72</v>
      </c>
      <c r="AG276">
        <v>0</v>
      </c>
      <c r="AH276">
        <v>0</v>
      </c>
      <c r="AK276" t="s">
        <v>73</v>
      </c>
      <c r="AL276" t="s">
        <v>72</v>
      </c>
      <c r="AM276" t="s">
        <v>72</v>
      </c>
      <c r="AN276" t="s">
        <v>72</v>
      </c>
      <c r="AO276">
        <v>0</v>
      </c>
      <c r="AP276">
        <v>0</v>
      </c>
      <c r="AS276" t="s">
        <v>73</v>
      </c>
      <c r="AT276" t="s">
        <v>72</v>
      </c>
      <c r="AU276" t="s">
        <v>72</v>
      </c>
      <c r="AV276" t="s">
        <v>72</v>
      </c>
      <c r="AY276">
        <v>0</v>
      </c>
    </row>
    <row r="277" spans="1:51" x14ac:dyDescent="0.2">
      <c r="A277" t="s">
        <v>1095</v>
      </c>
      <c r="B277" t="s">
        <v>199</v>
      </c>
      <c r="C277" t="s">
        <v>200</v>
      </c>
      <c r="D277" t="s">
        <v>290</v>
      </c>
      <c r="E277" t="s">
        <v>291</v>
      </c>
      <c r="F277" t="s">
        <v>292</v>
      </c>
      <c r="G277" t="s">
        <v>1087</v>
      </c>
      <c r="H277" t="s">
        <v>1088</v>
      </c>
      <c r="I277" t="s">
        <v>1096</v>
      </c>
      <c r="J277" t="s">
        <v>1090</v>
      </c>
      <c r="K277" t="s">
        <v>72</v>
      </c>
      <c r="O277" t="s">
        <v>1090</v>
      </c>
      <c r="Q277">
        <v>0</v>
      </c>
      <c r="R277">
        <v>0</v>
      </c>
      <c r="U277" t="s">
        <v>73</v>
      </c>
      <c r="V277" t="s">
        <v>72</v>
      </c>
      <c r="W277" t="s">
        <v>72</v>
      </c>
      <c r="X277" t="s">
        <v>72</v>
      </c>
      <c r="Y277">
        <v>0</v>
      </c>
      <c r="Z277">
        <v>0</v>
      </c>
      <c r="AC277" t="s">
        <v>73</v>
      </c>
      <c r="AD277" t="s">
        <v>72</v>
      </c>
      <c r="AE277" t="s">
        <v>72</v>
      </c>
      <c r="AF277" t="s">
        <v>72</v>
      </c>
      <c r="AG277">
        <v>0</v>
      </c>
      <c r="AH277">
        <v>0</v>
      </c>
      <c r="AK277" t="s">
        <v>73</v>
      </c>
      <c r="AL277" t="s">
        <v>72</v>
      </c>
      <c r="AM277" t="s">
        <v>72</v>
      </c>
      <c r="AN277" t="s">
        <v>72</v>
      </c>
      <c r="AO277">
        <v>0</v>
      </c>
      <c r="AP277">
        <v>0</v>
      </c>
      <c r="AS277" t="s">
        <v>73</v>
      </c>
      <c r="AT277" t="s">
        <v>72</v>
      </c>
      <c r="AU277" t="s">
        <v>72</v>
      </c>
      <c r="AV277" t="s">
        <v>72</v>
      </c>
      <c r="AY277">
        <v>0</v>
      </c>
    </row>
    <row r="278" spans="1:51" x14ac:dyDescent="0.2">
      <c r="A278" t="s">
        <v>1097</v>
      </c>
      <c r="B278" t="s">
        <v>199</v>
      </c>
      <c r="C278" t="s">
        <v>200</v>
      </c>
      <c r="D278" t="s">
        <v>290</v>
      </c>
      <c r="E278" t="s">
        <v>291</v>
      </c>
      <c r="F278" t="s">
        <v>292</v>
      </c>
      <c r="G278" t="s">
        <v>477</v>
      </c>
      <c r="H278" t="s">
        <v>478</v>
      </c>
      <c r="I278" t="s">
        <v>1098</v>
      </c>
      <c r="J278" t="s">
        <v>481</v>
      </c>
      <c r="K278" t="s">
        <v>72</v>
      </c>
      <c r="O278" t="s">
        <v>481</v>
      </c>
      <c r="Q278">
        <v>0</v>
      </c>
      <c r="R278">
        <v>0</v>
      </c>
      <c r="U278" t="s">
        <v>73</v>
      </c>
      <c r="V278" t="s">
        <v>72</v>
      </c>
      <c r="W278" t="s">
        <v>72</v>
      </c>
      <c r="X278" t="s">
        <v>72</v>
      </c>
      <c r="Y278">
        <v>0</v>
      </c>
      <c r="Z278">
        <v>0</v>
      </c>
      <c r="AC278" t="s">
        <v>73</v>
      </c>
      <c r="AD278" t="s">
        <v>72</v>
      </c>
      <c r="AE278" t="s">
        <v>72</v>
      </c>
      <c r="AF278" t="s">
        <v>72</v>
      </c>
      <c r="AG278">
        <v>0</v>
      </c>
      <c r="AH278">
        <v>0</v>
      </c>
      <c r="AK278" t="s">
        <v>73</v>
      </c>
      <c r="AL278" t="s">
        <v>72</v>
      </c>
      <c r="AM278" t="s">
        <v>72</v>
      </c>
      <c r="AN278" t="s">
        <v>72</v>
      </c>
      <c r="AO278">
        <v>0</v>
      </c>
      <c r="AP278">
        <v>0</v>
      </c>
      <c r="AS278" t="s">
        <v>73</v>
      </c>
      <c r="AT278" t="s">
        <v>72</v>
      </c>
      <c r="AU278" t="s">
        <v>72</v>
      </c>
      <c r="AV278" t="s">
        <v>72</v>
      </c>
      <c r="AY278">
        <v>0</v>
      </c>
    </row>
    <row r="279" spans="1:51" x14ac:dyDescent="0.2">
      <c r="A279" t="s">
        <v>1099</v>
      </c>
      <c r="B279" t="s">
        <v>199</v>
      </c>
      <c r="C279" t="s">
        <v>200</v>
      </c>
      <c r="D279" t="s">
        <v>290</v>
      </c>
      <c r="E279" t="s">
        <v>291</v>
      </c>
      <c r="F279" t="s">
        <v>292</v>
      </c>
      <c r="G279" t="s">
        <v>1100</v>
      </c>
      <c r="H279" t="s">
        <v>1101</v>
      </c>
      <c r="I279" t="s">
        <v>1102</v>
      </c>
      <c r="J279" t="s">
        <v>1103</v>
      </c>
      <c r="K279" t="s">
        <v>72</v>
      </c>
      <c r="O279" t="s">
        <v>1103</v>
      </c>
      <c r="Q279">
        <v>0</v>
      </c>
      <c r="R279">
        <v>0</v>
      </c>
      <c r="U279" t="s">
        <v>73</v>
      </c>
      <c r="V279" t="s">
        <v>72</v>
      </c>
      <c r="W279" t="s">
        <v>72</v>
      </c>
      <c r="X279" t="s">
        <v>72</v>
      </c>
      <c r="Y279">
        <v>0</v>
      </c>
      <c r="Z279">
        <v>0</v>
      </c>
      <c r="AC279" t="s">
        <v>73</v>
      </c>
      <c r="AD279" t="s">
        <v>72</v>
      </c>
      <c r="AE279" t="s">
        <v>72</v>
      </c>
      <c r="AF279" t="s">
        <v>72</v>
      </c>
      <c r="AG279">
        <v>0</v>
      </c>
      <c r="AH279">
        <v>0</v>
      </c>
      <c r="AK279" t="s">
        <v>73</v>
      </c>
      <c r="AL279" t="s">
        <v>72</v>
      </c>
      <c r="AM279" t="s">
        <v>72</v>
      </c>
      <c r="AN279" t="s">
        <v>72</v>
      </c>
      <c r="AO279">
        <v>0</v>
      </c>
      <c r="AP279">
        <v>0</v>
      </c>
      <c r="AS279" t="s">
        <v>73</v>
      </c>
      <c r="AT279" t="s">
        <v>72</v>
      </c>
      <c r="AU279" t="s">
        <v>72</v>
      </c>
      <c r="AV279" t="s">
        <v>72</v>
      </c>
      <c r="AY279">
        <v>0</v>
      </c>
    </row>
    <row r="280" spans="1:51" x14ac:dyDescent="0.2">
      <c r="A280" t="s">
        <v>1104</v>
      </c>
      <c r="B280" t="s">
        <v>199</v>
      </c>
      <c r="C280" t="s">
        <v>200</v>
      </c>
      <c r="D280" t="s">
        <v>290</v>
      </c>
      <c r="E280" t="s">
        <v>291</v>
      </c>
      <c r="F280" t="s">
        <v>292</v>
      </c>
      <c r="G280" t="s">
        <v>1100</v>
      </c>
      <c r="H280" t="s">
        <v>1101</v>
      </c>
      <c r="I280" t="s">
        <v>1105</v>
      </c>
      <c r="J280" t="s">
        <v>1103</v>
      </c>
      <c r="K280" t="s">
        <v>72</v>
      </c>
      <c r="O280" t="s">
        <v>1103</v>
      </c>
      <c r="Q280">
        <v>0</v>
      </c>
      <c r="R280">
        <v>0</v>
      </c>
      <c r="U280" t="s">
        <v>73</v>
      </c>
      <c r="V280" t="s">
        <v>72</v>
      </c>
      <c r="W280" t="s">
        <v>72</v>
      </c>
      <c r="X280" t="s">
        <v>72</v>
      </c>
      <c r="Y280">
        <v>0</v>
      </c>
      <c r="Z280">
        <v>0</v>
      </c>
      <c r="AC280" t="s">
        <v>73</v>
      </c>
      <c r="AD280" t="s">
        <v>72</v>
      </c>
      <c r="AE280" t="s">
        <v>72</v>
      </c>
      <c r="AF280" t="s">
        <v>72</v>
      </c>
      <c r="AG280">
        <v>0</v>
      </c>
      <c r="AH280">
        <v>0</v>
      </c>
      <c r="AK280" t="s">
        <v>73</v>
      </c>
      <c r="AL280" t="s">
        <v>72</v>
      </c>
      <c r="AM280" t="s">
        <v>72</v>
      </c>
      <c r="AN280" t="s">
        <v>72</v>
      </c>
      <c r="AO280">
        <v>0</v>
      </c>
      <c r="AP280">
        <v>0</v>
      </c>
      <c r="AS280" t="s">
        <v>73</v>
      </c>
      <c r="AT280" t="s">
        <v>72</v>
      </c>
      <c r="AU280" t="s">
        <v>72</v>
      </c>
      <c r="AV280" t="s">
        <v>72</v>
      </c>
      <c r="AY280">
        <v>0</v>
      </c>
    </row>
    <row r="281" spans="1:51" x14ac:dyDescent="0.2">
      <c r="A281" t="s">
        <v>1106</v>
      </c>
      <c r="B281" t="s">
        <v>199</v>
      </c>
      <c r="C281" t="s">
        <v>200</v>
      </c>
      <c r="D281" t="s">
        <v>290</v>
      </c>
      <c r="E281" t="s">
        <v>291</v>
      </c>
      <c r="F281" t="s">
        <v>292</v>
      </c>
      <c r="G281" t="s">
        <v>1100</v>
      </c>
      <c r="H281" t="s">
        <v>1101</v>
      </c>
      <c r="I281" t="s">
        <v>1107</v>
      </c>
      <c r="J281" t="s">
        <v>1103</v>
      </c>
      <c r="K281" t="s">
        <v>72</v>
      </c>
      <c r="O281" t="s">
        <v>1103</v>
      </c>
      <c r="Q281">
        <v>0</v>
      </c>
      <c r="R281">
        <v>0</v>
      </c>
      <c r="U281" t="s">
        <v>73</v>
      </c>
      <c r="V281" t="s">
        <v>72</v>
      </c>
      <c r="W281" t="s">
        <v>72</v>
      </c>
      <c r="X281" t="s">
        <v>72</v>
      </c>
      <c r="Y281">
        <v>0</v>
      </c>
      <c r="Z281">
        <v>0</v>
      </c>
      <c r="AC281" t="s">
        <v>73</v>
      </c>
      <c r="AD281" t="s">
        <v>72</v>
      </c>
      <c r="AE281" t="s">
        <v>72</v>
      </c>
      <c r="AF281" t="s">
        <v>72</v>
      </c>
      <c r="AG281">
        <v>0</v>
      </c>
      <c r="AH281">
        <v>0</v>
      </c>
      <c r="AK281" t="s">
        <v>73</v>
      </c>
      <c r="AL281" t="s">
        <v>72</v>
      </c>
      <c r="AM281" t="s">
        <v>72</v>
      </c>
      <c r="AN281" t="s">
        <v>72</v>
      </c>
      <c r="AO281">
        <v>0</v>
      </c>
      <c r="AP281">
        <v>0</v>
      </c>
      <c r="AS281" t="s">
        <v>73</v>
      </c>
      <c r="AT281" t="s">
        <v>72</v>
      </c>
      <c r="AU281" t="s">
        <v>72</v>
      </c>
      <c r="AV281" t="s">
        <v>72</v>
      </c>
      <c r="AY281">
        <v>0</v>
      </c>
    </row>
    <row r="282" spans="1:51" x14ac:dyDescent="0.2">
      <c r="A282" t="s">
        <v>1108</v>
      </c>
      <c r="B282" t="s">
        <v>199</v>
      </c>
      <c r="C282" t="s">
        <v>200</v>
      </c>
      <c r="D282" t="s">
        <v>290</v>
      </c>
      <c r="E282" t="s">
        <v>291</v>
      </c>
      <c r="F282" t="s">
        <v>292</v>
      </c>
      <c r="G282" t="s">
        <v>1100</v>
      </c>
      <c r="H282" t="s">
        <v>1101</v>
      </c>
      <c r="I282" t="s">
        <v>1109</v>
      </c>
      <c r="J282" t="s">
        <v>1103</v>
      </c>
      <c r="K282" t="s">
        <v>72</v>
      </c>
      <c r="O282" t="s">
        <v>1103</v>
      </c>
      <c r="Q282">
        <v>0</v>
      </c>
      <c r="R282">
        <v>0</v>
      </c>
      <c r="U282" t="s">
        <v>73</v>
      </c>
      <c r="V282" t="s">
        <v>72</v>
      </c>
      <c r="W282" t="s">
        <v>72</v>
      </c>
      <c r="X282" t="s">
        <v>72</v>
      </c>
      <c r="Y282">
        <v>0</v>
      </c>
      <c r="Z282">
        <v>0</v>
      </c>
      <c r="AC282" t="s">
        <v>73</v>
      </c>
      <c r="AD282" t="s">
        <v>72</v>
      </c>
      <c r="AE282" t="s">
        <v>72</v>
      </c>
      <c r="AF282" t="s">
        <v>72</v>
      </c>
      <c r="AG282">
        <v>0</v>
      </c>
      <c r="AH282">
        <v>0</v>
      </c>
      <c r="AK282" t="s">
        <v>73</v>
      </c>
      <c r="AL282" t="s">
        <v>72</v>
      </c>
      <c r="AM282" t="s">
        <v>72</v>
      </c>
      <c r="AN282" t="s">
        <v>72</v>
      </c>
      <c r="AO282">
        <v>0</v>
      </c>
      <c r="AP282">
        <v>0</v>
      </c>
      <c r="AS282" t="s">
        <v>73</v>
      </c>
      <c r="AT282" t="s">
        <v>72</v>
      </c>
      <c r="AU282" t="s">
        <v>72</v>
      </c>
      <c r="AV282" t="s">
        <v>72</v>
      </c>
      <c r="AY282">
        <v>0</v>
      </c>
    </row>
    <row r="283" spans="1:51" x14ac:dyDescent="0.2">
      <c r="A283" t="s">
        <v>1110</v>
      </c>
      <c r="B283" t="s">
        <v>199</v>
      </c>
      <c r="C283" t="s">
        <v>200</v>
      </c>
      <c r="D283" t="s">
        <v>214</v>
      </c>
      <c r="E283" t="s">
        <v>215</v>
      </c>
      <c r="F283" t="s">
        <v>216</v>
      </c>
      <c r="G283" t="s">
        <v>1111</v>
      </c>
      <c r="H283" t="s">
        <v>1112</v>
      </c>
      <c r="I283" t="s">
        <v>1113</v>
      </c>
      <c r="J283" t="s">
        <v>1114</v>
      </c>
      <c r="K283" t="s">
        <v>72</v>
      </c>
      <c r="O283" t="s">
        <v>1114</v>
      </c>
      <c r="Q283">
        <v>0</v>
      </c>
      <c r="R283">
        <v>0</v>
      </c>
      <c r="U283" t="s">
        <v>73</v>
      </c>
      <c r="V283" t="s">
        <v>72</v>
      </c>
      <c r="W283" t="s">
        <v>72</v>
      </c>
      <c r="X283" t="s">
        <v>72</v>
      </c>
      <c r="Y283">
        <v>0</v>
      </c>
      <c r="Z283">
        <v>0</v>
      </c>
      <c r="AC283" t="s">
        <v>73</v>
      </c>
      <c r="AD283" t="s">
        <v>72</v>
      </c>
      <c r="AE283" t="s">
        <v>72</v>
      </c>
      <c r="AF283" t="s">
        <v>72</v>
      </c>
      <c r="AG283">
        <v>0</v>
      </c>
      <c r="AH283">
        <v>0</v>
      </c>
      <c r="AK283" t="s">
        <v>73</v>
      </c>
      <c r="AL283" t="s">
        <v>72</v>
      </c>
      <c r="AM283" t="s">
        <v>72</v>
      </c>
      <c r="AN283" t="s">
        <v>72</v>
      </c>
      <c r="AO283">
        <v>0</v>
      </c>
      <c r="AP283">
        <v>0</v>
      </c>
      <c r="AS283" t="s">
        <v>73</v>
      </c>
      <c r="AT283" t="s">
        <v>72</v>
      </c>
      <c r="AU283" t="s">
        <v>72</v>
      </c>
      <c r="AV283" t="s">
        <v>72</v>
      </c>
      <c r="AY283">
        <v>0</v>
      </c>
    </row>
    <row r="284" spans="1:51" x14ac:dyDescent="0.2">
      <c r="A284" t="s">
        <v>1115</v>
      </c>
      <c r="B284" t="s">
        <v>199</v>
      </c>
      <c r="C284" t="s">
        <v>200</v>
      </c>
      <c r="D284" t="s">
        <v>214</v>
      </c>
      <c r="E284" t="s">
        <v>215</v>
      </c>
      <c r="F284" t="s">
        <v>216</v>
      </c>
      <c r="G284" t="s">
        <v>1111</v>
      </c>
      <c r="H284" t="s">
        <v>1112</v>
      </c>
      <c r="I284" t="s">
        <v>1116</v>
      </c>
      <c r="J284" t="s">
        <v>1114</v>
      </c>
      <c r="K284" t="s">
        <v>72</v>
      </c>
      <c r="O284" t="s">
        <v>1114</v>
      </c>
      <c r="Q284">
        <v>0</v>
      </c>
      <c r="R284">
        <v>0</v>
      </c>
      <c r="U284" t="s">
        <v>73</v>
      </c>
      <c r="V284" t="s">
        <v>72</v>
      </c>
      <c r="W284" t="s">
        <v>72</v>
      </c>
      <c r="X284" t="s">
        <v>72</v>
      </c>
      <c r="Y284">
        <v>0</v>
      </c>
      <c r="Z284">
        <v>0</v>
      </c>
      <c r="AC284" t="s">
        <v>73</v>
      </c>
      <c r="AD284" t="s">
        <v>72</v>
      </c>
      <c r="AE284" t="s">
        <v>72</v>
      </c>
      <c r="AF284" t="s">
        <v>72</v>
      </c>
      <c r="AG284">
        <v>0</v>
      </c>
      <c r="AH284">
        <v>0</v>
      </c>
      <c r="AK284" t="s">
        <v>73</v>
      </c>
      <c r="AL284" t="s">
        <v>72</v>
      </c>
      <c r="AM284" t="s">
        <v>72</v>
      </c>
      <c r="AN284" t="s">
        <v>72</v>
      </c>
      <c r="AO284">
        <v>0</v>
      </c>
      <c r="AP284">
        <v>0</v>
      </c>
      <c r="AS284" t="s">
        <v>73</v>
      </c>
      <c r="AT284" t="s">
        <v>72</v>
      </c>
      <c r="AU284" t="s">
        <v>72</v>
      </c>
      <c r="AV284" t="s">
        <v>72</v>
      </c>
      <c r="AY284">
        <v>0</v>
      </c>
    </row>
    <row r="285" spans="1:51" x14ac:dyDescent="0.2">
      <c r="A285" t="s">
        <v>1117</v>
      </c>
      <c r="B285" t="s">
        <v>199</v>
      </c>
      <c r="C285" t="s">
        <v>200</v>
      </c>
      <c r="D285" t="s">
        <v>214</v>
      </c>
      <c r="E285" t="s">
        <v>215</v>
      </c>
      <c r="F285" t="s">
        <v>216</v>
      </c>
      <c r="G285" t="s">
        <v>1111</v>
      </c>
      <c r="H285" t="s">
        <v>1112</v>
      </c>
      <c r="I285" t="s">
        <v>1118</v>
      </c>
      <c r="J285" t="s">
        <v>1114</v>
      </c>
      <c r="K285" t="s">
        <v>72</v>
      </c>
      <c r="O285" t="s">
        <v>1114</v>
      </c>
      <c r="Q285">
        <v>0</v>
      </c>
      <c r="R285">
        <v>0</v>
      </c>
      <c r="U285" t="s">
        <v>73</v>
      </c>
      <c r="V285" t="s">
        <v>72</v>
      </c>
      <c r="W285" t="s">
        <v>72</v>
      </c>
      <c r="X285" t="s">
        <v>72</v>
      </c>
      <c r="Y285">
        <v>0</v>
      </c>
      <c r="Z285">
        <v>0</v>
      </c>
      <c r="AC285" t="s">
        <v>73</v>
      </c>
      <c r="AD285" t="s">
        <v>72</v>
      </c>
      <c r="AE285" t="s">
        <v>72</v>
      </c>
      <c r="AF285" t="s">
        <v>72</v>
      </c>
      <c r="AG285">
        <v>0</v>
      </c>
      <c r="AH285">
        <v>0</v>
      </c>
      <c r="AK285" t="s">
        <v>73</v>
      </c>
      <c r="AL285" t="s">
        <v>72</v>
      </c>
      <c r="AM285" t="s">
        <v>72</v>
      </c>
      <c r="AN285" t="s">
        <v>72</v>
      </c>
      <c r="AO285">
        <v>0</v>
      </c>
      <c r="AP285">
        <v>0</v>
      </c>
      <c r="AS285" t="s">
        <v>73</v>
      </c>
      <c r="AT285" t="s">
        <v>72</v>
      </c>
      <c r="AU285" t="s">
        <v>72</v>
      </c>
      <c r="AV285" t="s">
        <v>72</v>
      </c>
      <c r="AY285">
        <v>0</v>
      </c>
    </row>
    <row r="286" spans="1:51" x14ac:dyDescent="0.2">
      <c r="A286" t="s">
        <v>1119</v>
      </c>
      <c r="B286" t="s">
        <v>199</v>
      </c>
      <c r="C286" t="s">
        <v>200</v>
      </c>
      <c r="D286" t="s">
        <v>214</v>
      </c>
      <c r="E286" t="s">
        <v>215</v>
      </c>
      <c r="F286" t="s">
        <v>216</v>
      </c>
      <c r="G286" t="s">
        <v>1111</v>
      </c>
      <c r="H286" t="s">
        <v>1112</v>
      </c>
      <c r="I286" t="s">
        <v>1120</v>
      </c>
      <c r="J286" t="s">
        <v>1114</v>
      </c>
      <c r="K286" t="s">
        <v>72</v>
      </c>
      <c r="O286" t="s">
        <v>1114</v>
      </c>
      <c r="Q286">
        <v>0</v>
      </c>
      <c r="R286">
        <v>0</v>
      </c>
      <c r="U286" t="s">
        <v>73</v>
      </c>
      <c r="V286" t="s">
        <v>72</v>
      </c>
      <c r="W286" t="s">
        <v>72</v>
      </c>
      <c r="X286" t="s">
        <v>72</v>
      </c>
      <c r="Y286">
        <v>0</v>
      </c>
      <c r="Z286">
        <v>0</v>
      </c>
      <c r="AC286" t="s">
        <v>73</v>
      </c>
      <c r="AD286" t="s">
        <v>72</v>
      </c>
      <c r="AE286" t="s">
        <v>72</v>
      </c>
      <c r="AF286" t="s">
        <v>72</v>
      </c>
      <c r="AG286">
        <v>0</v>
      </c>
      <c r="AH286">
        <v>0</v>
      </c>
      <c r="AK286" t="s">
        <v>73</v>
      </c>
      <c r="AL286" t="s">
        <v>72</v>
      </c>
      <c r="AM286" t="s">
        <v>72</v>
      </c>
      <c r="AN286" t="s">
        <v>72</v>
      </c>
      <c r="AO286">
        <v>0</v>
      </c>
      <c r="AP286">
        <v>0</v>
      </c>
      <c r="AS286" t="s">
        <v>73</v>
      </c>
      <c r="AT286" t="s">
        <v>72</v>
      </c>
      <c r="AU286" t="s">
        <v>72</v>
      </c>
      <c r="AV286" t="s">
        <v>72</v>
      </c>
      <c r="AY286">
        <v>0</v>
      </c>
    </row>
    <row r="287" spans="1:51" x14ac:dyDescent="0.2">
      <c r="A287" t="s">
        <v>1121</v>
      </c>
      <c r="B287" t="s">
        <v>199</v>
      </c>
      <c r="C287" t="s">
        <v>200</v>
      </c>
      <c r="D287" t="s">
        <v>214</v>
      </c>
      <c r="E287" t="s">
        <v>215</v>
      </c>
      <c r="F287" t="s">
        <v>216</v>
      </c>
      <c r="G287" t="s">
        <v>217</v>
      </c>
      <c r="H287" t="s">
        <v>218</v>
      </c>
      <c r="I287" t="s">
        <v>1122</v>
      </c>
      <c r="J287" t="s">
        <v>221</v>
      </c>
      <c r="K287" t="s">
        <v>72</v>
      </c>
      <c r="O287" t="s">
        <v>221</v>
      </c>
      <c r="Q287">
        <v>0</v>
      </c>
      <c r="R287">
        <v>0</v>
      </c>
      <c r="U287" t="s">
        <v>73</v>
      </c>
      <c r="V287" t="s">
        <v>72</v>
      </c>
      <c r="W287" t="s">
        <v>72</v>
      </c>
      <c r="X287" t="s">
        <v>72</v>
      </c>
      <c r="Y287">
        <v>0</v>
      </c>
      <c r="Z287">
        <v>0</v>
      </c>
      <c r="AC287" t="s">
        <v>73</v>
      </c>
      <c r="AD287" t="s">
        <v>72</v>
      </c>
      <c r="AE287" t="s">
        <v>72</v>
      </c>
      <c r="AF287" t="s">
        <v>72</v>
      </c>
      <c r="AG287">
        <v>0</v>
      </c>
      <c r="AH287">
        <v>0</v>
      </c>
      <c r="AK287" t="s">
        <v>73</v>
      </c>
      <c r="AL287" t="s">
        <v>72</v>
      </c>
      <c r="AM287" t="s">
        <v>72</v>
      </c>
      <c r="AN287" t="s">
        <v>72</v>
      </c>
      <c r="AO287">
        <v>0</v>
      </c>
      <c r="AP287">
        <v>0</v>
      </c>
      <c r="AS287" t="s">
        <v>73</v>
      </c>
      <c r="AT287" t="s">
        <v>72</v>
      </c>
      <c r="AU287" t="s">
        <v>72</v>
      </c>
      <c r="AV287" t="s">
        <v>72</v>
      </c>
      <c r="AY287">
        <v>0</v>
      </c>
    </row>
    <row r="288" spans="1:51" x14ac:dyDescent="0.2">
      <c r="A288" t="s">
        <v>1123</v>
      </c>
      <c r="B288" t="s">
        <v>199</v>
      </c>
      <c r="C288" t="s">
        <v>200</v>
      </c>
      <c r="D288" t="s">
        <v>214</v>
      </c>
      <c r="E288" t="s">
        <v>215</v>
      </c>
      <c r="F288" t="s">
        <v>216</v>
      </c>
      <c r="G288" t="s">
        <v>303</v>
      </c>
      <c r="H288" t="s">
        <v>304</v>
      </c>
      <c r="I288" t="s">
        <v>1124</v>
      </c>
      <c r="J288" t="s">
        <v>307</v>
      </c>
      <c r="K288" t="s">
        <v>72</v>
      </c>
      <c r="O288" t="s">
        <v>307</v>
      </c>
      <c r="Q288">
        <v>0</v>
      </c>
      <c r="R288">
        <v>0</v>
      </c>
      <c r="U288" t="s">
        <v>73</v>
      </c>
      <c r="V288" t="s">
        <v>72</v>
      </c>
      <c r="W288" t="s">
        <v>72</v>
      </c>
      <c r="X288" t="s">
        <v>72</v>
      </c>
      <c r="Y288">
        <v>0</v>
      </c>
      <c r="Z288">
        <v>0</v>
      </c>
      <c r="AC288" t="s">
        <v>73</v>
      </c>
      <c r="AD288" t="s">
        <v>72</v>
      </c>
      <c r="AE288" t="s">
        <v>72</v>
      </c>
      <c r="AF288" t="s">
        <v>72</v>
      </c>
      <c r="AG288">
        <v>0</v>
      </c>
      <c r="AH288">
        <v>0</v>
      </c>
      <c r="AK288" t="s">
        <v>73</v>
      </c>
      <c r="AL288" t="s">
        <v>72</v>
      </c>
      <c r="AM288" t="s">
        <v>72</v>
      </c>
      <c r="AN288" t="s">
        <v>72</v>
      </c>
      <c r="AO288">
        <v>0</v>
      </c>
      <c r="AP288">
        <v>0</v>
      </c>
      <c r="AS288" t="s">
        <v>73</v>
      </c>
      <c r="AT288" t="s">
        <v>72</v>
      </c>
      <c r="AU288" t="s">
        <v>72</v>
      </c>
      <c r="AV288" t="s">
        <v>72</v>
      </c>
      <c r="AY288">
        <v>0</v>
      </c>
    </row>
    <row r="289" spans="1:51" x14ac:dyDescent="0.2">
      <c r="A289" t="s">
        <v>1125</v>
      </c>
      <c r="B289" t="s">
        <v>199</v>
      </c>
      <c r="C289" t="s">
        <v>200</v>
      </c>
      <c r="D289" t="s">
        <v>214</v>
      </c>
      <c r="E289" t="s">
        <v>215</v>
      </c>
      <c r="F289" t="s">
        <v>216</v>
      </c>
      <c r="G289" t="s">
        <v>303</v>
      </c>
      <c r="H289" t="s">
        <v>304</v>
      </c>
      <c r="I289" t="s">
        <v>1126</v>
      </c>
      <c r="J289" t="s">
        <v>307</v>
      </c>
      <c r="K289" t="s">
        <v>72</v>
      </c>
      <c r="O289" t="s">
        <v>307</v>
      </c>
      <c r="Q289">
        <v>0</v>
      </c>
      <c r="R289">
        <v>0</v>
      </c>
      <c r="U289" t="s">
        <v>73</v>
      </c>
      <c r="V289" t="s">
        <v>72</v>
      </c>
      <c r="W289" t="s">
        <v>72</v>
      </c>
      <c r="X289" t="s">
        <v>72</v>
      </c>
      <c r="Y289">
        <v>0</v>
      </c>
      <c r="Z289">
        <v>0</v>
      </c>
      <c r="AC289" t="s">
        <v>73</v>
      </c>
      <c r="AD289" t="s">
        <v>72</v>
      </c>
      <c r="AE289" t="s">
        <v>72</v>
      </c>
      <c r="AF289" t="s">
        <v>72</v>
      </c>
      <c r="AG289">
        <v>0</v>
      </c>
      <c r="AH289">
        <v>0</v>
      </c>
      <c r="AK289" t="s">
        <v>73</v>
      </c>
      <c r="AL289" t="s">
        <v>72</v>
      </c>
      <c r="AM289" t="s">
        <v>72</v>
      </c>
      <c r="AN289" t="s">
        <v>72</v>
      </c>
      <c r="AO289">
        <v>0</v>
      </c>
      <c r="AP289">
        <v>0</v>
      </c>
      <c r="AS289" t="s">
        <v>73</v>
      </c>
      <c r="AT289" t="s">
        <v>72</v>
      </c>
      <c r="AU289" t="s">
        <v>72</v>
      </c>
      <c r="AV289" t="s">
        <v>72</v>
      </c>
      <c r="AY289">
        <v>0</v>
      </c>
    </row>
    <row r="290" spans="1:51" x14ac:dyDescent="0.2">
      <c r="A290" t="s">
        <v>1127</v>
      </c>
      <c r="B290" t="s">
        <v>199</v>
      </c>
      <c r="C290" t="s">
        <v>200</v>
      </c>
      <c r="D290" t="s">
        <v>214</v>
      </c>
      <c r="E290" t="s">
        <v>215</v>
      </c>
      <c r="F290" t="s">
        <v>216</v>
      </c>
      <c r="G290" t="s">
        <v>1128</v>
      </c>
      <c r="H290" t="s">
        <v>1129</v>
      </c>
      <c r="I290" t="s">
        <v>1130</v>
      </c>
      <c r="J290" t="s">
        <v>1131</v>
      </c>
      <c r="K290" t="s">
        <v>72</v>
      </c>
      <c r="O290" t="s">
        <v>1131</v>
      </c>
      <c r="Q290">
        <v>0</v>
      </c>
      <c r="R290">
        <v>0</v>
      </c>
      <c r="U290" t="s">
        <v>73</v>
      </c>
      <c r="V290" t="s">
        <v>72</v>
      </c>
      <c r="W290" t="s">
        <v>72</v>
      </c>
      <c r="X290" t="s">
        <v>72</v>
      </c>
      <c r="Y290">
        <v>0</v>
      </c>
      <c r="Z290">
        <v>0</v>
      </c>
      <c r="AC290" t="s">
        <v>73</v>
      </c>
      <c r="AD290" t="s">
        <v>72</v>
      </c>
      <c r="AE290" t="s">
        <v>72</v>
      </c>
      <c r="AF290" t="s">
        <v>72</v>
      </c>
      <c r="AG290">
        <v>0</v>
      </c>
      <c r="AH290">
        <v>0</v>
      </c>
      <c r="AK290" t="s">
        <v>73</v>
      </c>
      <c r="AL290" t="s">
        <v>72</v>
      </c>
      <c r="AM290" t="s">
        <v>72</v>
      </c>
      <c r="AN290" t="s">
        <v>72</v>
      </c>
      <c r="AO290">
        <v>0</v>
      </c>
      <c r="AP290">
        <v>0</v>
      </c>
      <c r="AS290" t="s">
        <v>73</v>
      </c>
      <c r="AT290" t="s">
        <v>72</v>
      </c>
      <c r="AU290" t="s">
        <v>72</v>
      </c>
      <c r="AV290" t="s">
        <v>72</v>
      </c>
      <c r="AY290">
        <v>0</v>
      </c>
    </row>
    <row r="291" spans="1:51" x14ac:dyDescent="0.2">
      <c r="A291" t="s">
        <v>1132</v>
      </c>
      <c r="B291" t="s">
        <v>199</v>
      </c>
      <c r="C291" t="s">
        <v>200</v>
      </c>
      <c r="D291" t="s">
        <v>214</v>
      </c>
      <c r="E291" t="s">
        <v>215</v>
      </c>
      <c r="F291" t="s">
        <v>216</v>
      </c>
      <c r="G291" t="s">
        <v>1128</v>
      </c>
      <c r="H291" t="s">
        <v>1129</v>
      </c>
      <c r="I291" t="s">
        <v>1133</v>
      </c>
      <c r="J291" t="s">
        <v>1131</v>
      </c>
      <c r="K291" t="s">
        <v>72</v>
      </c>
      <c r="O291" t="s">
        <v>1131</v>
      </c>
      <c r="Q291">
        <v>0</v>
      </c>
      <c r="R291">
        <v>0</v>
      </c>
      <c r="U291" t="s">
        <v>73</v>
      </c>
      <c r="V291" t="s">
        <v>72</v>
      </c>
      <c r="W291" t="s">
        <v>72</v>
      </c>
      <c r="X291" t="s">
        <v>72</v>
      </c>
      <c r="Y291">
        <v>0</v>
      </c>
      <c r="Z291">
        <v>0</v>
      </c>
      <c r="AC291" t="s">
        <v>73</v>
      </c>
      <c r="AD291" t="s">
        <v>72</v>
      </c>
      <c r="AE291" t="s">
        <v>72</v>
      </c>
      <c r="AF291" t="s">
        <v>72</v>
      </c>
      <c r="AG291">
        <v>0</v>
      </c>
      <c r="AH291">
        <v>0</v>
      </c>
      <c r="AK291" t="s">
        <v>73</v>
      </c>
      <c r="AL291" t="s">
        <v>72</v>
      </c>
      <c r="AM291" t="s">
        <v>72</v>
      </c>
      <c r="AN291" t="s">
        <v>72</v>
      </c>
      <c r="AO291">
        <v>0</v>
      </c>
      <c r="AP291">
        <v>0</v>
      </c>
      <c r="AS291" t="s">
        <v>73</v>
      </c>
      <c r="AT291" t="s">
        <v>72</v>
      </c>
      <c r="AU291" t="s">
        <v>72</v>
      </c>
      <c r="AV291" t="s">
        <v>72</v>
      </c>
      <c r="AY291">
        <v>0</v>
      </c>
    </row>
    <row r="292" spans="1:51" x14ac:dyDescent="0.2">
      <c r="A292" t="s">
        <v>1134</v>
      </c>
      <c r="B292" t="s">
        <v>199</v>
      </c>
      <c r="C292" t="s">
        <v>200</v>
      </c>
      <c r="D292" t="s">
        <v>313</v>
      </c>
      <c r="E292" t="s">
        <v>314</v>
      </c>
      <c r="F292" t="s">
        <v>315</v>
      </c>
      <c r="G292" t="s">
        <v>316</v>
      </c>
      <c r="H292" t="s">
        <v>317</v>
      </c>
      <c r="I292" t="s">
        <v>1135</v>
      </c>
      <c r="J292" t="s">
        <v>320</v>
      </c>
      <c r="K292" t="s">
        <v>72</v>
      </c>
      <c r="O292" t="s">
        <v>320</v>
      </c>
      <c r="Q292">
        <v>0</v>
      </c>
      <c r="R292">
        <v>0</v>
      </c>
      <c r="U292" t="s">
        <v>73</v>
      </c>
      <c r="V292" t="s">
        <v>72</v>
      </c>
      <c r="W292" t="s">
        <v>72</v>
      </c>
      <c r="X292" t="s">
        <v>72</v>
      </c>
      <c r="Y292">
        <v>0</v>
      </c>
      <c r="Z292">
        <v>0</v>
      </c>
      <c r="AC292" t="s">
        <v>73</v>
      </c>
      <c r="AD292" t="s">
        <v>72</v>
      </c>
      <c r="AE292" t="s">
        <v>72</v>
      </c>
      <c r="AF292" t="s">
        <v>72</v>
      </c>
      <c r="AG292">
        <v>0</v>
      </c>
      <c r="AH292">
        <v>0</v>
      </c>
      <c r="AK292" t="s">
        <v>73</v>
      </c>
      <c r="AL292" t="s">
        <v>72</v>
      </c>
      <c r="AM292" t="s">
        <v>72</v>
      </c>
      <c r="AN292" t="s">
        <v>72</v>
      </c>
      <c r="AO292">
        <v>0</v>
      </c>
      <c r="AP292">
        <v>0</v>
      </c>
      <c r="AS292" t="s">
        <v>73</v>
      </c>
      <c r="AT292" t="s">
        <v>72</v>
      </c>
      <c r="AU292" t="s">
        <v>72</v>
      </c>
      <c r="AV292" t="s">
        <v>72</v>
      </c>
      <c r="AY292">
        <v>0</v>
      </c>
    </row>
    <row r="293" spans="1:51" x14ac:dyDescent="0.2">
      <c r="A293" t="s">
        <v>1136</v>
      </c>
      <c r="B293" t="s">
        <v>199</v>
      </c>
      <c r="C293" t="s">
        <v>200</v>
      </c>
      <c r="D293" t="s">
        <v>313</v>
      </c>
      <c r="E293" t="s">
        <v>314</v>
      </c>
      <c r="F293" t="s">
        <v>315</v>
      </c>
      <c r="G293" t="s">
        <v>316</v>
      </c>
      <c r="H293" t="s">
        <v>317</v>
      </c>
      <c r="I293" t="s">
        <v>1137</v>
      </c>
      <c r="J293" t="s">
        <v>320</v>
      </c>
      <c r="K293" t="s">
        <v>72</v>
      </c>
      <c r="O293" t="s">
        <v>320</v>
      </c>
      <c r="Q293">
        <v>0</v>
      </c>
      <c r="R293">
        <v>0</v>
      </c>
      <c r="U293" t="s">
        <v>73</v>
      </c>
      <c r="V293" t="s">
        <v>72</v>
      </c>
      <c r="W293" t="s">
        <v>72</v>
      </c>
      <c r="X293" t="s">
        <v>72</v>
      </c>
      <c r="Y293">
        <v>0</v>
      </c>
      <c r="Z293">
        <v>0</v>
      </c>
      <c r="AC293" t="s">
        <v>73</v>
      </c>
      <c r="AD293" t="s">
        <v>72</v>
      </c>
      <c r="AE293" t="s">
        <v>72</v>
      </c>
      <c r="AF293" t="s">
        <v>72</v>
      </c>
      <c r="AG293">
        <v>0</v>
      </c>
      <c r="AH293">
        <v>0</v>
      </c>
      <c r="AK293" t="s">
        <v>73</v>
      </c>
      <c r="AL293" t="s">
        <v>72</v>
      </c>
      <c r="AM293" t="s">
        <v>72</v>
      </c>
      <c r="AN293" t="s">
        <v>72</v>
      </c>
      <c r="AO293">
        <v>0</v>
      </c>
      <c r="AP293">
        <v>0</v>
      </c>
      <c r="AS293" t="s">
        <v>73</v>
      </c>
      <c r="AT293" t="s">
        <v>72</v>
      </c>
      <c r="AU293" t="s">
        <v>72</v>
      </c>
      <c r="AV293" t="s">
        <v>72</v>
      </c>
      <c r="AY293">
        <v>0</v>
      </c>
    </row>
    <row r="294" spans="1:51" x14ac:dyDescent="0.2">
      <c r="A294" t="s">
        <v>1138</v>
      </c>
      <c r="B294" t="s">
        <v>199</v>
      </c>
      <c r="C294" t="s">
        <v>200</v>
      </c>
      <c r="D294" t="s">
        <v>313</v>
      </c>
      <c r="E294" t="s">
        <v>314</v>
      </c>
      <c r="F294" t="s">
        <v>315</v>
      </c>
      <c r="G294" t="s">
        <v>1139</v>
      </c>
      <c r="H294" t="s">
        <v>1140</v>
      </c>
      <c r="I294" t="s">
        <v>1141</v>
      </c>
      <c r="J294" t="s">
        <v>1142</v>
      </c>
      <c r="K294" t="s">
        <v>72</v>
      </c>
      <c r="O294" t="s">
        <v>1142</v>
      </c>
      <c r="Q294">
        <v>0</v>
      </c>
      <c r="R294">
        <v>0</v>
      </c>
      <c r="U294" t="s">
        <v>73</v>
      </c>
      <c r="V294" t="s">
        <v>72</v>
      </c>
      <c r="W294" t="s">
        <v>72</v>
      </c>
      <c r="X294" t="s">
        <v>72</v>
      </c>
      <c r="Y294">
        <v>0</v>
      </c>
      <c r="Z294">
        <v>0</v>
      </c>
      <c r="AC294" t="s">
        <v>73</v>
      </c>
      <c r="AD294" t="s">
        <v>72</v>
      </c>
      <c r="AE294" t="s">
        <v>72</v>
      </c>
      <c r="AF294" t="s">
        <v>72</v>
      </c>
      <c r="AG294">
        <v>0</v>
      </c>
      <c r="AH294">
        <v>0</v>
      </c>
      <c r="AK294" t="s">
        <v>73</v>
      </c>
      <c r="AL294" t="s">
        <v>72</v>
      </c>
      <c r="AM294" t="s">
        <v>72</v>
      </c>
      <c r="AN294" t="s">
        <v>72</v>
      </c>
      <c r="AO294">
        <v>0</v>
      </c>
      <c r="AP294">
        <v>0</v>
      </c>
      <c r="AS294" t="s">
        <v>73</v>
      </c>
      <c r="AT294" t="s">
        <v>72</v>
      </c>
      <c r="AU294" t="s">
        <v>72</v>
      </c>
      <c r="AV294" t="s">
        <v>72</v>
      </c>
      <c r="AY294">
        <v>0</v>
      </c>
    </row>
    <row r="295" spans="1:51" x14ac:dyDescent="0.2">
      <c r="A295" t="s">
        <v>1143</v>
      </c>
      <c r="B295" t="s">
        <v>199</v>
      </c>
      <c r="C295" t="s">
        <v>200</v>
      </c>
      <c r="D295" t="s">
        <v>313</v>
      </c>
      <c r="E295" t="s">
        <v>314</v>
      </c>
      <c r="F295" t="s">
        <v>315</v>
      </c>
      <c r="G295" t="s">
        <v>1139</v>
      </c>
      <c r="H295" t="s">
        <v>1140</v>
      </c>
      <c r="I295" t="s">
        <v>1144</v>
      </c>
      <c r="J295" t="s">
        <v>1142</v>
      </c>
      <c r="K295" t="s">
        <v>72</v>
      </c>
      <c r="O295" t="s">
        <v>1142</v>
      </c>
      <c r="Q295">
        <v>0</v>
      </c>
      <c r="R295">
        <v>0</v>
      </c>
      <c r="U295" t="s">
        <v>73</v>
      </c>
      <c r="V295" t="s">
        <v>72</v>
      </c>
      <c r="W295" t="s">
        <v>72</v>
      </c>
      <c r="X295" t="s">
        <v>72</v>
      </c>
      <c r="Y295">
        <v>0</v>
      </c>
      <c r="Z295">
        <v>0</v>
      </c>
      <c r="AC295" t="s">
        <v>73</v>
      </c>
      <c r="AD295" t="s">
        <v>72</v>
      </c>
      <c r="AE295" t="s">
        <v>72</v>
      </c>
      <c r="AF295" t="s">
        <v>72</v>
      </c>
      <c r="AG295">
        <v>0</v>
      </c>
      <c r="AH295">
        <v>0</v>
      </c>
      <c r="AK295" t="s">
        <v>73</v>
      </c>
      <c r="AL295" t="s">
        <v>72</v>
      </c>
      <c r="AM295" t="s">
        <v>72</v>
      </c>
      <c r="AN295" t="s">
        <v>72</v>
      </c>
      <c r="AO295">
        <v>0</v>
      </c>
      <c r="AP295">
        <v>0</v>
      </c>
      <c r="AS295" t="s">
        <v>73</v>
      </c>
      <c r="AT295" t="s">
        <v>72</v>
      </c>
      <c r="AU295" t="s">
        <v>72</v>
      </c>
      <c r="AV295" t="s">
        <v>72</v>
      </c>
      <c r="AY295">
        <v>0</v>
      </c>
    </row>
    <row r="296" spans="1:51" x14ac:dyDescent="0.2">
      <c r="A296" t="s">
        <v>1145</v>
      </c>
      <c r="B296" t="s">
        <v>199</v>
      </c>
      <c r="C296" t="s">
        <v>200</v>
      </c>
      <c r="D296" t="s">
        <v>313</v>
      </c>
      <c r="E296" t="s">
        <v>314</v>
      </c>
      <c r="F296" t="s">
        <v>315</v>
      </c>
      <c r="G296" t="s">
        <v>1139</v>
      </c>
      <c r="H296" t="s">
        <v>1140</v>
      </c>
      <c r="I296" t="s">
        <v>1146</v>
      </c>
      <c r="J296" t="s">
        <v>1142</v>
      </c>
      <c r="K296" t="s">
        <v>72</v>
      </c>
      <c r="O296" t="s">
        <v>1142</v>
      </c>
      <c r="Q296">
        <v>0</v>
      </c>
      <c r="R296">
        <v>0</v>
      </c>
      <c r="U296" t="s">
        <v>73</v>
      </c>
      <c r="V296" t="s">
        <v>72</v>
      </c>
      <c r="W296" t="s">
        <v>72</v>
      </c>
      <c r="X296" t="s">
        <v>72</v>
      </c>
      <c r="Y296">
        <v>0</v>
      </c>
      <c r="Z296">
        <v>0</v>
      </c>
      <c r="AC296" t="s">
        <v>73</v>
      </c>
      <c r="AD296" t="s">
        <v>72</v>
      </c>
      <c r="AE296" t="s">
        <v>72</v>
      </c>
      <c r="AF296" t="s">
        <v>72</v>
      </c>
      <c r="AG296">
        <v>0</v>
      </c>
      <c r="AH296">
        <v>0</v>
      </c>
      <c r="AK296" t="s">
        <v>73</v>
      </c>
      <c r="AL296" t="s">
        <v>72</v>
      </c>
      <c r="AM296" t="s">
        <v>72</v>
      </c>
      <c r="AN296" t="s">
        <v>72</v>
      </c>
      <c r="AO296">
        <v>0</v>
      </c>
      <c r="AP296">
        <v>0</v>
      </c>
      <c r="AS296" t="s">
        <v>73</v>
      </c>
      <c r="AT296" t="s">
        <v>72</v>
      </c>
      <c r="AU296" t="s">
        <v>72</v>
      </c>
      <c r="AV296" t="s">
        <v>72</v>
      </c>
      <c r="AY296">
        <v>0</v>
      </c>
    </row>
    <row r="297" spans="1:51" x14ac:dyDescent="0.2">
      <c r="A297" t="s">
        <v>1147</v>
      </c>
      <c r="B297" t="s">
        <v>199</v>
      </c>
      <c r="C297" t="s">
        <v>200</v>
      </c>
      <c r="D297" t="s">
        <v>313</v>
      </c>
      <c r="E297" t="s">
        <v>314</v>
      </c>
      <c r="F297" t="s">
        <v>315</v>
      </c>
      <c r="G297" t="s">
        <v>1139</v>
      </c>
      <c r="H297" t="s">
        <v>1140</v>
      </c>
      <c r="I297" t="s">
        <v>1148</v>
      </c>
      <c r="J297" t="s">
        <v>1142</v>
      </c>
      <c r="K297" t="s">
        <v>72</v>
      </c>
      <c r="O297" t="s">
        <v>1142</v>
      </c>
      <c r="Q297">
        <v>0</v>
      </c>
      <c r="R297">
        <v>0</v>
      </c>
      <c r="U297" t="s">
        <v>73</v>
      </c>
      <c r="V297" t="s">
        <v>72</v>
      </c>
      <c r="W297" t="s">
        <v>72</v>
      </c>
      <c r="X297" t="s">
        <v>72</v>
      </c>
      <c r="Y297">
        <v>0</v>
      </c>
      <c r="Z297">
        <v>0</v>
      </c>
      <c r="AC297" t="s">
        <v>73</v>
      </c>
      <c r="AD297" t="s">
        <v>72</v>
      </c>
      <c r="AE297" t="s">
        <v>72</v>
      </c>
      <c r="AF297" t="s">
        <v>72</v>
      </c>
      <c r="AG297">
        <v>0</v>
      </c>
      <c r="AH297">
        <v>0</v>
      </c>
      <c r="AK297" t="s">
        <v>73</v>
      </c>
      <c r="AL297" t="s">
        <v>72</v>
      </c>
      <c r="AM297" t="s">
        <v>72</v>
      </c>
      <c r="AN297" t="s">
        <v>72</v>
      </c>
      <c r="AO297">
        <v>0</v>
      </c>
      <c r="AP297">
        <v>0</v>
      </c>
      <c r="AS297" t="s">
        <v>73</v>
      </c>
      <c r="AT297" t="s">
        <v>72</v>
      </c>
      <c r="AU297" t="s">
        <v>72</v>
      </c>
      <c r="AV297" t="s">
        <v>72</v>
      </c>
      <c r="AY297">
        <v>0</v>
      </c>
    </row>
    <row r="298" spans="1:51" x14ac:dyDescent="0.2">
      <c r="A298" t="s">
        <v>1149</v>
      </c>
      <c r="B298" t="s">
        <v>199</v>
      </c>
      <c r="C298" t="s">
        <v>200</v>
      </c>
      <c r="D298" t="s">
        <v>313</v>
      </c>
      <c r="E298" t="s">
        <v>314</v>
      </c>
      <c r="F298" t="s">
        <v>315</v>
      </c>
      <c r="G298" t="s">
        <v>1139</v>
      </c>
      <c r="H298" t="s">
        <v>1140</v>
      </c>
      <c r="I298" t="s">
        <v>1150</v>
      </c>
      <c r="J298" t="s">
        <v>1142</v>
      </c>
      <c r="K298" t="s">
        <v>72</v>
      </c>
      <c r="O298" t="s">
        <v>1142</v>
      </c>
      <c r="Q298">
        <v>0</v>
      </c>
      <c r="R298">
        <v>0</v>
      </c>
      <c r="U298" t="s">
        <v>73</v>
      </c>
      <c r="V298" t="s">
        <v>72</v>
      </c>
      <c r="W298" t="s">
        <v>72</v>
      </c>
      <c r="X298" t="s">
        <v>72</v>
      </c>
      <c r="Y298">
        <v>0</v>
      </c>
      <c r="Z298">
        <v>0</v>
      </c>
      <c r="AC298" t="s">
        <v>73</v>
      </c>
      <c r="AD298" t="s">
        <v>72</v>
      </c>
      <c r="AE298" t="s">
        <v>72</v>
      </c>
      <c r="AF298" t="s">
        <v>72</v>
      </c>
      <c r="AG298">
        <v>0</v>
      </c>
      <c r="AH298">
        <v>0</v>
      </c>
      <c r="AK298" t="s">
        <v>73</v>
      </c>
      <c r="AL298" t="s">
        <v>72</v>
      </c>
      <c r="AM298" t="s">
        <v>72</v>
      </c>
      <c r="AN298" t="s">
        <v>72</v>
      </c>
      <c r="AO298">
        <v>0</v>
      </c>
      <c r="AP298">
        <v>0</v>
      </c>
      <c r="AS298" t="s">
        <v>73</v>
      </c>
      <c r="AT298" t="s">
        <v>72</v>
      </c>
      <c r="AU298" t="s">
        <v>72</v>
      </c>
      <c r="AV298" t="s">
        <v>72</v>
      </c>
      <c r="AY298">
        <v>0</v>
      </c>
    </row>
    <row r="299" spans="1:51" x14ac:dyDescent="0.2">
      <c r="A299" t="s">
        <v>1151</v>
      </c>
      <c r="B299" t="s">
        <v>199</v>
      </c>
      <c r="C299" t="s">
        <v>200</v>
      </c>
      <c r="D299" t="s">
        <v>313</v>
      </c>
      <c r="E299" t="s">
        <v>314</v>
      </c>
      <c r="F299" t="s">
        <v>315</v>
      </c>
      <c r="G299" t="s">
        <v>1139</v>
      </c>
      <c r="H299" t="s">
        <v>1140</v>
      </c>
      <c r="I299" t="s">
        <v>1152</v>
      </c>
      <c r="J299" t="s">
        <v>1142</v>
      </c>
      <c r="K299" t="s">
        <v>72</v>
      </c>
      <c r="O299" t="s">
        <v>1142</v>
      </c>
      <c r="Q299">
        <v>0</v>
      </c>
      <c r="R299">
        <v>0</v>
      </c>
      <c r="U299" t="s">
        <v>73</v>
      </c>
      <c r="V299" t="s">
        <v>72</v>
      </c>
      <c r="W299" t="s">
        <v>72</v>
      </c>
      <c r="X299" t="s">
        <v>72</v>
      </c>
      <c r="Y299">
        <v>0</v>
      </c>
      <c r="Z299">
        <v>0</v>
      </c>
      <c r="AC299" t="s">
        <v>73</v>
      </c>
      <c r="AD299" t="s">
        <v>72</v>
      </c>
      <c r="AE299" t="s">
        <v>72</v>
      </c>
      <c r="AF299" t="s">
        <v>72</v>
      </c>
      <c r="AG299">
        <v>0</v>
      </c>
      <c r="AH299">
        <v>0</v>
      </c>
      <c r="AK299" t="s">
        <v>73</v>
      </c>
      <c r="AL299" t="s">
        <v>72</v>
      </c>
      <c r="AM299" t="s">
        <v>72</v>
      </c>
      <c r="AN299" t="s">
        <v>72</v>
      </c>
      <c r="AO299">
        <v>0</v>
      </c>
      <c r="AP299">
        <v>0</v>
      </c>
      <c r="AS299" t="s">
        <v>73</v>
      </c>
      <c r="AT299" t="s">
        <v>72</v>
      </c>
      <c r="AU299" t="s">
        <v>72</v>
      </c>
      <c r="AV299" t="s">
        <v>72</v>
      </c>
      <c r="AY299">
        <v>0</v>
      </c>
    </row>
    <row r="300" spans="1:51" x14ac:dyDescent="0.2">
      <c r="A300" t="s">
        <v>1153</v>
      </c>
      <c r="B300" t="s">
        <v>199</v>
      </c>
      <c r="C300" t="s">
        <v>200</v>
      </c>
      <c r="D300" t="s">
        <v>313</v>
      </c>
      <c r="E300" t="s">
        <v>314</v>
      </c>
      <c r="F300" t="s">
        <v>315</v>
      </c>
      <c r="G300" t="s">
        <v>1154</v>
      </c>
      <c r="H300" t="s">
        <v>1155</v>
      </c>
      <c r="I300" t="s">
        <v>1156</v>
      </c>
      <c r="J300" t="s">
        <v>1157</v>
      </c>
      <c r="K300" t="s">
        <v>72</v>
      </c>
      <c r="O300" t="s">
        <v>1157</v>
      </c>
      <c r="Q300">
        <v>0</v>
      </c>
      <c r="R300">
        <v>0</v>
      </c>
      <c r="U300" t="s">
        <v>73</v>
      </c>
      <c r="V300" t="s">
        <v>72</v>
      </c>
      <c r="W300" t="s">
        <v>72</v>
      </c>
      <c r="X300" t="s">
        <v>72</v>
      </c>
      <c r="Y300">
        <v>0</v>
      </c>
      <c r="Z300">
        <v>0</v>
      </c>
      <c r="AC300" t="s">
        <v>73</v>
      </c>
      <c r="AD300" t="s">
        <v>72</v>
      </c>
      <c r="AE300" t="s">
        <v>72</v>
      </c>
      <c r="AF300" t="s">
        <v>72</v>
      </c>
      <c r="AG300">
        <v>0</v>
      </c>
      <c r="AH300">
        <v>0</v>
      </c>
      <c r="AK300" t="s">
        <v>73</v>
      </c>
      <c r="AL300" t="s">
        <v>72</v>
      </c>
      <c r="AM300" t="s">
        <v>72</v>
      </c>
      <c r="AN300" t="s">
        <v>72</v>
      </c>
      <c r="AO300">
        <v>0</v>
      </c>
      <c r="AP300">
        <v>0</v>
      </c>
      <c r="AS300" t="s">
        <v>73</v>
      </c>
      <c r="AT300" t="s">
        <v>72</v>
      </c>
      <c r="AU300" t="s">
        <v>72</v>
      </c>
      <c r="AV300" t="s">
        <v>72</v>
      </c>
      <c r="AY300">
        <v>0</v>
      </c>
    </row>
    <row r="301" spans="1:51" x14ac:dyDescent="0.2">
      <c r="A301" t="s">
        <v>1158</v>
      </c>
      <c r="B301" t="s">
        <v>199</v>
      </c>
      <c r="C301" t="s">
        <v>200</v>
      </c>
      <c r="D301" t="s">
        <v>313</v>
      </c>
      <c r="E301" t="s">
        <v>314</v>
      </c>
      <c r="F301" t="s">
        <v>315</v>
      </c>
      <c r="G301" t="s">
        <v>1154</v>
      </c>
      <c r="H301" t="s">
        <v>1155</v>
      </c>
      <c r="I301" t="s">
        <v>1159</v>
      </c>
      <c r="J301" t="s">
        <v>1157</v>
      </c>
      <c r="K301" t="s">
        <v>72</v>
      </c>
      <c r="O301" t="s">
        <v>1157</v>
      </c>
      <c r="Q301">
        <v>0</v>
      </c>
      <c r="R301">
        <v>0</v>
      </c>
      <c r="U301" t="s">
        <v>73</v>
      </c>
      <c r="V301" t="s">
        <v>72</v>
      </c>
      <c r="W301" t="s">
        <v>72</v>
      </c>
      <c r="X301" t="s">
        <v>72</v>
      </c>
      <c r="Y301">
        <v>0</v>
      </c>
      <c r="Z301">
        <v>0</v>
      </c>
      <c r="AC301" t="s">
        <v>73</v>
      </c>
      <c r="AD301" t="s">
        <v>72</v>
      </c>
      <c r="AE301" t="s">
        <v>72</v>
      </c>
      <c r="AF301" t="s">
        <v>72</v>
      </c>
      <c r="AG301">
        <v>0</v>
      </c>
      <c r="AH301">
        <v>0</v>
      </c>
      <c r="AK301" t="s">
        <v>73</v>
      </c>
      <c r="AL301" t="s">
        <v>72</v>
      </c>
      <c r="AM301" t="s">
        <v>72</v>
      </c>
      <c r="AN301" t="s">
        <v>72</v>
      </c>
      <c r="AO301">
        <v>0</v>
      </c>
      <c r="AP301">
        <v>0</v>
      </c>
      <c r="AS301" t="s">
        <v>73</v>
      </c>
      <c r="AT301" t="s">
        <v>72</v>
      </c>
      <c r="AU301" t="s">
        <v>72</v>
      </c>
      <c r="AV301" t="s">
        <v>72</v>
      </c>
      <c r="AY301">
        <v>0</v>
      </c>
    </row>
    <row r="302" spans="1:51" x14ac:dyDescent="0.2">
      <c r="A302" t="s">
        <v>1160</v>
      </c>
      <c r="B302" t="s">
        <v>199</v>
      </c>
      <c r="C302" t="s">
        <v>200</v>
      </c>
      <c r="D302" t="s">
        <v>313</v>
      </c>
      <c r="E302" t="s">
        <v>314</v>
      </c>
      <c r="F302" t="s">
        <v>315</v>
      </c>
      <c r="G302" t="s">
        <v>1154</v>
      </c>
      <c r="H302" t="s">
        <v>1155</v>
      </c>
      <c r="I302" t="s">
        <v>1161</v>
      </c>
      <c r="J302" t="s">
        <v>1157</v>
      </c>
      <c r="K302" t="s">
        <v>72</v>
      </c>
      <c r="O302" t="s">
        <v>1157</v>
      </c>
      <c r="Q302">
        <v>0</v>
      </c>
      <c r="R302">
        <v>0</v>
      </c>
      <c r="U302" t="s">
        <v>73</v>
      </c>
      <c r="V302" t="s">
        <v>72</v>
      </c>
      <c r="W302" t="s">
        <v>72</v>
      </c>
      <c r="X302" t="s">
        <v>72</v>
      </c>
      <c r="Y302">
        <v>0</v>
      </c>
      <c r="Z302">
        <v>0</v>
      </c>
      <c r="AC302" t="s">
        <v>73</v>
      </c>
      <c r="AD302" t="s">
        <v>72</v>
      </c>
      <c r="AE302" t="s">
        <v>72</v>
      </c>
      <c r="AF302" t="s">
        <v>72</v>
      </c>
      <c r="AG302">
        <v>0</v>
      </c>
      <c r="AH302">
        <v>0</v>
      </c>
      <c r="AK302" t="s">
        <v>73</v>
      </c>
      <c r="AL302" t="s">
        <v>72</v>
      </c>
      <c r="AM302" t="s">
        <v>72</v>
      </c>
      <c r="AN302" t="s">
        <v>72</v>
      </c>
      <c r="AO302">
        <v>0</v>
      </c>
      <c r="AP302">
        <v>0</v>
      </c>
      <c r="AS302" t="s">
        <v>73</v>
      </c>
      <c r="AT302" t="s">
        <v>72</v>
      </c>
      <c r="AU302" t="s">
        <v>72</v>
      </c>
      <c r="AV302" t="s">
        <v>72</v>
      </c>
      <c r="AY302">
        <v>0</v>
      </c>
    </row>
    <row r="303" spans="1:51" x14ac:dyDescent="0.2">
      <c r="A303" t="s">
        <v>1162</v>
      </c>
      <c r="B303" t="s">
        <v>199</v>
      </c>
      <c r="C303" t="s">
        <v>200</v>
      </c>
      <c r="D303" t="s">
        <v>313</v>
      </c>
      <c r="E303" t="s">
        <v>314</v>
      </c>
      <c r="F303" t="s">
        <v>315</v>
      </c>
      <c r="G303" t="s">
        <v>1163</v>
      </c>
      <c r="H303" t="s">
        <v>1164</v>
      </c>
      <c r="I303" t="s">
        <v>1165</v>
      </c>
      <c r="J303" t="s">
        <v>1166</v>
      </c>
      <c r="K303" t="s">
        <v>72</v>
      </c>
      <c r="O303" t="s">
        <v>1166</v>
      </c>
      <c r="Q303">
        <v>0</v>
      </c>
      <c r="R303">
        <v>0</v>
      </c>
      <c r="U303" t="s">
        <v>73</v>
      </c>
      <c r="V303" t="s">
        <v>72</v>
      </c>
      <c r="W303" t="s">
        <v>72</v>
      </c>
      <c r="X303" t="s">
        <v>72</v>
      </c>
      <c r="Y303">
        <v>0</v>
      </c>
      <c r="Z303">
        <v>0</v>
      </c>
      <c r="AC303" t="s">
        <v>73</v>
      </c>
      <c r="AD303" t="s">
        <v>72</v>
      </c>
      <c r="AE303" t="s">
        <v>72</v>
      </c>
      <c r="AF303" t="s">
        <v>72</v>
      </c>
      <c r="AG303">
        <v>0</v>
      </c>
      <c r="AH303">
        <v>0</v>
      </c>
      <c r="AK303" t="s">
        <v>73</v>
      </c>
      <c r="AL303" t="s">
        <v>72</v>
      </c>
      <c r="AM303" t="s">
        <v>72</v>
      </c>
      <c r="AN303" t="s">
        <v>72</v>
      </c>
      <c r="AO303">
        <v>0</v>
      </c>
      <c r="AP303">
        <v>0</v>
      </c>
      <c r="AS303" t="s">
        <v>73</v>
      </c>
      <c r="AT303" t="s">
        <v>72</v>
      </c>
      <c r="AU303" t="s">
        <v>72</v>
      </c>
      <c r="AV303" t="s">
        <v>72</v>
      </c>
      <c r="AY303">
        <v>0</v>
      </c>
    </row>
    <row r="304" spans="1:51" x14ac:dyDescent="0.2">
      <c r="A304" t="s">
        <v>1167</v>
      </c>
      <c r="B304" t="s">
        <v>199</v>
      </c>
      <c r="C304" t="s">
        <v>200</v>
      </c>
      <c r="D304" t="s">
        <v>313</v>
      </c>
      <c r="E304" t="s">
        <v>314</v>
      </c>
      <c r="F304" t="s">
        <v>315</v>
      </c>
      <c r="G304" t="s">
        <v>1163</v>
      </c>
      <c r="H304" t="s">
        <v>1164</v>
      </c>
      <c r="I304" t="s">
        <v>1168</v>
      </c>
      <c r="J304" t="s">
        <v>1166</v>
      </c>
      <c r="K304" t="s">
        <v>72</v>
      </c>
      <c r="O304" t="s">
        <v>1166</v>
      </c>
      <c r="Q304">
        <v>0</v>
      </c>
      <c r="R304">
        <v>0</v>
      </c>
      <c r="U304" t="s">
        <v>73</v>
      </c>
      <c r="V304" t="s">
        <v>72</v>
      </c>
      <c r="W304" t="s">
        <v>72</v>
      </c>
      <c r="X304" t="s">
        <v>72</v>
      </c>
      <c r="Y304">
        <v>0</v>
      </c>
      <c r="Z304">
        <v>0</v>
      </c>
      <c r="AC304" t="s">
        <v>73</v>
      </c>
      <c r="AD304" t="s">
        <v>72</v>
      </c>
      <c r="AE304" t="s">
        <v>72</v>
      </c>
      <c r="AF304" t="s">
        <v>72</v>
      </c>
      <c r="AG304">
        <v>0</v>
      </c>
      <c r="AH304">
        <v>0</v>
      </c>
      <c r="AK304" t="s">
        <v>73</v>
      </c>
      <c r="AL304" t="s">
        <v>72</v>
      </c>
      <c r="AM304" t="s">
        <v>72</v>
      </c>
      <c r="AN304" t="s">
        <v>72</v>
      </c>
      <c r="AO304">
        <v>0</v>
      </c>
      <c r="AP304">
        <v>0</v>
      </c>
      <c r="AS304" t="s">
        <v>73</v>
      </c>
      <c r="AT304" t="s">
        <v>72</v>
      </c>
      <c r="AU304" t="s">
        <v>72</v>
      </c>
      <c r="AV304" t="s">
        <v>72</v>
      </c>
      <c r="AY304">
        <v>0</v>
      </c>
    </row>
    <row r="305" spans="1:51" x14ac:dyDescent="0.2">
      <c r="A305" t="s">
        <v>1169</v>
      </c>
      <c r="B305" t="s">
        <v>199</v>
      </c>
      <c r="C305" t="s">
        <v>200</v>
      </c>
      <c r="D305" t="s">
        <v>313</v>
      </c>
      <c r="E305" t="s">
        <v>314</v>
      </c>
      <c r="F305" t="s">
        <v>315</v>
      </c>
      <c r="G305" t="s">
        <v>1163</v>
      </c>
      <c r="H305" t="s">
        <v>1164</v>
      </c>
      <c r="I305" t="s">
        <v>1170</v>
      </c>
      <c r="J305" t="s">
        <v>1166</v>
      </c>
      <c r="K305" t="s">
        <v>72</v>
      </c>
      <c r="O305" t="s">
        <v>1166</v>
      </c>
      <c r="Q305">
        <v>0</v>
      </c>
      <c r="R305">
        <v>0</v>
      </c>
      <c r="U305" t="s">
        <v>73</v>
      </c>
      <c r="V305" t="s">
        <v>72</v>
      </c>
      <c r="W305" t="s">
        <v>72</v>
      </c>
      <c r="X305" t="s">
        <v>72</v>
      </c>
      <c r="Y305">
        <v>0</v>
      </c>
      <c r="Z305">
        <v>0</v>
      </c>
      <c r="AC305" t="s">
        <v>73</v>
      </c>
      <c r="AD305" t="s">
        <v>72</v>
      </c>
      <c r="AE305" t="s">
        <v>72</v>
      </c>
      <c r="AF305" t="s">
        <v>72</v>
      </c>
      <c r="AG305">
        <v>0</v>
      </c>
      <c r="AH305">
        <v>0</v>
      </c>
      <c r="AK305" t="s">
        <v>73</v>
      </c>
      <c r="AL305" t="s">
        <v>72</v>
      </c>
      <c r="AM305" t="s">
        <v>72</v>
      </c>
      <c r="AN305" t="s">
        <v>72</v>
      </c>
      <c r="AO305">
        <v>0</v>
      </c>
      <c r="AP305">
        <v>0</v>
      </c>
      <c r="AS305" t="s">
        <v>73</v>
      </c>
      <c r="AT305" t="s">
        <v>72</v>
      </c>
      <c r="AU305" t="s">
        <v>72</v>
      </c>
      <c r="AV305" t="s">
        <v>72</v>
      </c>
      <c r="AY305">
        <v>0</v>
      </c>
    </row>
    <row r="306" spans="1:51" x14ac:dyDescent="0.2">
      <c r="A306" t="s">
        <v>1171</v>
      </c>
      <c r="B306" t="s">
        <v>199</v>
      </c>
      <c r="C306" t="s">
        <v>200</v>
      </c>
      <c r="D306" t="s">
        <v>313</v>
      </c>
      <c r="E306" t="s">
        <v>314</v>
      </c>
      <c r="F306" t="s">
        <v>315</v>
      </c>
      <c r="G306" t="s">
        <v>326</v>
      </c>
      <c r="H306" t="s">
        <v>327</v>
      </c>
      <c r="I306" t="s">
        <v>1172</v>
      </c>
      <c r="J306" t="s">
        <v>330</v>
      </c>
      <c r="K306" t="s">
        <v>72</v>
      </c>
      <c r="O306" t="s">
        <v>330</v>
      </c>
      <c r="Q306">
        <v>0</v>
      </c>
      <c r="R306">
        <v>0</v>
      </c>
      <c r="U306" t="s">
        <v>73</v>
      </c>
      <c r="V306" t="s">
        <v>72</v>
      </c>
      <c r="W306" t="s">
        <v>72</v>
      </c>
      <c r="X306" t="s">
        <v>72</v>
      </c>
      <c r="Y306">
        <v>0</v>
      </c>
      <c r="Z306">
        <v>0</v>
      </c>
      <c r="AC306" t="s">
        <v>73</v>
      </c>
      <c r="AD306" t="s">
        <v>72</v>
      </c>
      <c r="AE306" t="s">
        <v>72</v>
      </c>
      <c r="AF306" t="s">
        <v>72</v>
      </c>
      <c r="AG306">
        <v>0</v>
      </c>
      <c r="AH306">
        <v>0</v>
      </c>
      <c r="AK306" t="s">
        <v>73</v>
      </c>
      <c r="AL306" t="s">
        <v>72</v>
      </c>
      <c r="AM306" t="s">
        <v>72</v>
      </c>
      <c r="AN306" t="s">
        <v>72</v>
      </c>
      <c r="AO306">
        <v>0</v>
      </c>
      <c r="AP306">
        <v>0</v>
      </c>
      <c r="AS306" t="s">
        <v>73</v>
      </c>
      <c r="AT306" t="s">
        <v>72</v>
      </c>
      <c r="AU306" t="s">
        <v>72</v>
      </c>
      <c r="AV306" t="s">
        <v>72</v>
      </c>
      <c r="AY306">
        <v>0</v>
      </c>
    </row>
    <row r="307" spans="1:51" x14ac:dyDescent="0.2">
      <c r="A307" t="s">
        <v>1173</v>
      </c>
      <c r="B307" t="s">
        <v>199</v>
      </c>
      <c r="C307" t="s">
        <v>200</v>
      </c>
      <c r="D307" t="s">
        <v>313</v>
      </c>
      <c r="E307" t="s">
        <v>314</v>
      </c>
      <c r="F307" t="s">
        <v>315</v>
      </c>
      <c r="G307" t="s">
        <v>326</v>
      </c>
      <c r="H307" t="s">
        <v>327</v>
      </c>
      <c r="I307" t="s">
        <v>1174</v>
      </c>
      <c r="J307" t="s">
        <v>330</v>
      </c>
      <c r="K307" t="s">
        <v>72</v>
      </c>
      <c r="O307" t="s">
        <v>330</v>
      </c>
      <c r="Q307">
        <v>0</v>
      </c>
      <c r="R307">
        <v>0</v>
      </c>
      <c r="U307" t="s">
        <v>73</v>
      </c>
      <c r="V307" t="s">
        <v>72</v>
      </c>
      <c r="W307" t="s">
        <v>72</v>
      </c>
      <c r="X307" t="s">
        <v>72</v>
      </c>
      <c r="Y307">
        <v>0</v>
      </c>
      <c r="Z307">
        <v>0</v>
      </c>
      <c r="AC307" t="s">
        <v>73</v>
      </c>
      <c r="AD307" t="s">
        <v>72</v>
      </c>
      <c r="AE307" t="s">
        <v>72</v>
      </c>
      <c r="AF307" t="s">
        <v>72</v>
      </c>
      <c r="AG307">
        <v>0</v>
      </c>
      <c r="AH307">
        <v>0</v>
      </c>
      <c r="AK307" t="s">
        <v>73</v>
      </c>
      <c r="AL307" t="s">
        <v>72</v>
      </c>
      <c r="AM307" t="s">
        <v>72</v>
      </c>
      <c r="AN307" t="s">
        <v>72</v>
      </c>
      <c r="AO307">
        <v>0</v>
      </c>
      <c r="AP307">
        <v>0</v>
      </c>
      <c r="AS307" t="s">
        <v>73</v>
      </c>
      <c r="AT307" t="s">
        <v>72</v>
      </c>
      <c r="AU307" t="s">
        <v>72</v>
      </c>
      <c r="AV307" t="s">
        <v>72</v>
      </c>
      <c r="AY307">
        <v>0</v>
      </c>
    </row>
    <row r="308" spans="1:51" x14ac:dyDescent="0.2">
      <c r="A308" t="s">
        <v>1175</v>
      </c>
      <c r="B308" t="s">
        <v>199</v>
      </c>
      <c r="C308" t="s">
        <v>200</v>
      </c>
      <c r="D308" t="s">
        <v>313</v>
      </c>
      <c r="E308" t="s">
        <v>314</v>
      </c>
      <c r="F308" t="s">
        <v>315</v>
      </c>
      <c r="G308" t="s">
        <v>326</v>
      </c>
      <c r="H308" t="s">
        <v>327</v>
      </c>
      <c r="I308" t="s">
        <v>1176</v>
      </c>
      <c r="J308" t="s">
        <v>330</v>
      </c>
      <c r="K308" t="s">
        <v>72</v>
      </c>
      <c r="O308" t="s">
        <v>330</v>
      </c>
      <c r="Q308">
        <v>0</v>
      </c>
      <c r="R308">
        <v>0</v>
      </c>
      <c r="U308" t="s">
        <v>73</v>
      </c>
      <c r="V308" t="s">
        <v>72</v>
      </c>
      <c r="W308" t="s">
        <v>72</v>
      </c>
      <c r="X308" t="s">
        <v>72</v>
      </c>
      <c r="Y308">
        <v>0</v>
      </c>
      <c r="Z308">
        <v>0</v>
      </c>
      <c r="AC308" t="s">
        <v>73</v>
      </c>
      <c r="AD308" t="s">
        <v>72</v>
      </c>
      <c r="AE308" t="s">
        <v>72</v>
      </c>
      <c r="AF308" t="s">
        <v>72</v>
      </c>
      <c r="AG308">
        <v>0</v>
      </c>
      <c r="AH308">
        <v>0</v>
      </c>
      <c r="AK308" t="s">
        <v>73</v>
      </c>
      <c r="AL308" t="s">
        <v>72</v>
      </c>
      <c r="AM308" t="s">
        <v>72</v>
      </c>
      <c r="AN308" t="s">
        <v>72</v>
      </c>
      <c r="AO308">
        <v>0</v>
      </c>
      <c r="AP308">
        <v>0</v>
      </c>
      <c r="AS308" t="s">
        <v>73</v>
      </c>
      <c r="AT308" t="s">
        <v>72</v>
      </c>
      <c r="AU308" t="s">
        <v>72</v>
      </c>
      <c r="AV308" t="s">
        <v>72</v>
      </c>
      <c r="AY308">
        <v>0</v>
      </c>
    </row>
    <row r="309" spans="1:51" x14ac:dyDescent="0.2">
      <c r="A309" t="s">
        <v>1177</v>
      </c>
      <c r="B309" t="s">
        <v>199</v>
      </c>
      <c r="C309" t="s">
        <v>200</v>
      </c>
      <c r="D309" t="s">
        <v>313</v>
      </c>
      <c r="E309" t="s">
        <v>314</v>
      </c>
      <c r="F309" t="s">
        <v>315</v>
      </c>
      <c r="G309" t="s">
        <v>1178</v>
      </c>
      <c r="H309" t="s">
        <v>1179</v>
      </c>
      <c r="I309" t="s">
        <v>1180</v>
      </c>
      <c r="J309" t="s">
        <v>1181</v>
      </c>
      <c r="K309" t="s">
        <v>72</v>
      </c>
      <c r="O309" t="s">
        <v>1181</v>
      </c>
      <c r="Q309">
        <v>0</v>
      </c>
      <c r="R309">
        <v>0</v>
      </c>
      <c r="U309" t="s">
        <v>73</v>
      </c>
      <c r="V309" t="s">
        <v>72</v>
      </c>
      <c r="W309" t="s">
        <v>72</v>
      </c>
      <c r="X309" t="s">
        <v>72</v>
      </c>
      <c r="Y309">
        <v>0</v>
      </c>
      <c r="Z309">
        <v>0</v>
      </c>
      <c r="AC309" t="s">
        <v>73</v>
      </c>
      <c r="AD309" t="s">
        <v>72</v>
      </c>
      <c r="AE309" t="s">
        <v>72</v>
      </c>
      <c r="AF309" t="s">
        <v>72</v>
      </c>
      <c r="AG309">
        <v>0</v>
      </c>
      <c r="AH309">
        <v>0</v>
      </c>
      <c r="AK309" t="s">
        <v>73</v>
      </c>
      <c r="AL309" t="s">
        <v>72</v>
      </c>
      <c r="AM309" t="s">
        <v>72</v>
      </c>
      <c r="AN309" t="s">
        <v>72</v>
      </c>
      <c r="AO309">
        <v>0</v>
      </c>
      <c r="AP309">
        <v>0</v>
      </c>
      <c r="AS309" t="s">
        <v>73</v>
      </c>
      <c r="AT309" t="s">
        <v>72</v>
      </c>
      <c r="AU309" t="s">
        <v>72</v>
      </c>
      <c r="AV309" t="s">
        <v>72</v>
      </c>
      <c r="AY309">
        <v>0</v>
      </c>
    </row>
    <row r="310" spans="1:51" x14ac:dyDescent="0.2">
      <c r="A310" t="s">
        <v>1182</v>
      </c>
      <c r="B310" t="s">
        <v>199</v>
      </c>
      <c r="C310" t="s">
        <v>200</v>
      </c>
      <c r="D310" t="s">
        <v>313</v>
      </c>
      <c r="E310" t="s">
        <v>314</v>
      </c>
      <c r="F310" t="s">
        <v>315</v>
      </c>
      <c r="G310" t="s">
        <v>1178</v>
      </c>
      <c r="H310" t="s">
        <v>1179</v>
      </c>
      <c r="I310" t="s">
        <v>1183</v>
      </c>
      <c r="J310" t="s">
        <v>1181</v>
      </c>
      <c r="K310" t="s">
        <v>72</v>
      </c>
      <c r="O310" t="s">
        <v>1181</v>
      </c>
      <c r="Q310">
        <v>0</v>
      </c>
      <c r="R310">
        <v>0</v>
      </c>
      <c r="U310" t="s">
        <v>73</v>
      </c>
      <c r="V310" t="s">
        <v>72</v>
      </c>
      <c r="W310" t="s">
        <v>72</v>
      </c>
      <c r="X310" t="s">
        <v>72</v>
      </c>
      <c r="Y310">
        <v>0</v>
      </c>
      <c r="Z310">
        <v>0</v>
      </c>
      <c r="AC310" t="s">
        <v>73</v>
      </c>
      <c r="AD310" t="s">
        <v>72</v>
      </c>
      <c r="AE310" t="s">
        <v>72</v>
      </c>
      <c r="AF310" t="s">
        <v>72</v>
      </c>
      <c r="AG310">
        <v>0</v>
      </c>
      <c r="AH310">
        <v>0</v>
      </c>
      <c r="AK310" t="s">
        <v>73</v>
      </c>
      <c r="AL310" t="s">
        <v>72</v>
      </c>
      <c r="AM310" t="s">
        <v>72</v>
      </c>
      <c r="AN310" t="s">
        <v>72</v>
      </c>
      <c r="AO310">
        <v>0</v>
      </c>
      <c r="AP310">
        <v>0</v>
      </c>
      <c r="AS310" t="s">
        <v>73</v>
      </c>
      <c r="AT310" t="s">
        <v>72</v>
      </c>
      <c r="AU310" t="s">
        <v>72</v>
      </c>
      <c r="AV310" t="s">
        <v>72</v>
      </c>
      <c r="AY310">
        <v>0</v>
      </c>
    </row>
    <row r="311" spans="1:51" x14ac:dyDescent="0.2">
      <c r="A311" t="s">
        <v>1184</v>
      </c>
      <c r="B311" t="s">
        <v>199</v>
      </c>
      <c r="C311" t="s">
        <v>200</v>
      </c>
      <c r="D311" t="s">
        <v>313</v>
      </c>
      <c r="E311" t="s">
        <v>314</v>
      </c>
      <c r="F311" t="s">
        <v>315</v>
      </c>
      <c r="G311" t="s">
        <v>1178</v>
      </c>
      <c r="H311" t="s">
        <v>1179</v>
      </c>
      <c r="I311" t="s">
        <v>1185</v>
      </c>
      <c r="J311" t="s">
        <v>1181</v>
      </c>
      <c r="K311" t="s">
        <v>72</v>
      </c>
      <c r="O311" t="s">
        <v>1181</v>
      </c>
      <c r="Q311">
        <v>0</v>
      </c>
      <c r="R311">
        <v>0</v>
      </c>
      <c r="U311" t="s">
        <v>73</v>
      </c>
      <c r="V311" t="s">
        <v>72</v>
      </c>
      <c r="W311" t="s">
        <v>72</v>
      </c>
      <c r="X311" t="s">
        <v>72</v>
      </c>
      <c r="Y311">
        <v>0</v>
      </c>
      <c r="Z311">
        <v>0</v>
      </c>
      <c r="AC311" t="s">
        <v>73</v>
      </c>
      <c r="AD311" t="s">
        <v>72</v>
      </c>
      <c r="AE311" t="s">
        <v>72</v>
      </c>
      <c r="AF311" t="s">
        <v>72</v>
      </c>
      <c r="AG311">
        <v>0</v>
      </c>
      <c r="AH311">
        <v>0</v>
      </c>
      <c r="AK311" t="s">
        <v>73</v>
      </c>
      <c r="AL311" t="s">
        <v>72</v>
      </c>
      <c r="AM311" t="s">
        <v>72</v>
      </c>
      <c r="AN311" t="s">
        <v>72</v>
      </c>
      <c r="AO311">
        <v>0</v>
      </c>
      <c r="AP311">
        <v>0</v>
      </c>
      <c r="AS311" t="s">
        <v>73</v>
      </c>
      <c r="AT311" t="s">
        <v>72</v>
      </c>
      <c r="AU311" t="s">
        <v>72</v>
      </c>
      <c r="AV311" t="s">
        <v>72</v>
      </c>
      <c r="AY311">
        <v>0</v>
      </c>
    </row>
    <row r="312" spans="1:51" x14ac:dyDescent="0.2">
      <c r="A312" t="s">
        <v>1186</v>
      </c>
      <c r="B312" t="s">
        <v>336</v>
      </c>
      <c r="C312" t="s">
        <v>337</v>
      </c>
      <c r="D312" t="s">
        <v>1187</v>
      </c>
      <c r="E312" t="s">
        <v>1188</v>
      </c>
      <c r="F312" t="s">
        <v>1189</v>
      </c>
      <c r="G312" t="s">
        <v>1190</v>
      </c>
      <c r="H312" t="s">
        <v>1191</v>
      </c>
      <c r="I312" t="s">
        <v>1192</v>
      </c>
      <c r="J312" t="s">
        <v>1193</v>
      </c>
      <c r="K312" t="s">
        <v>72</v>
      </c>
      <c r="O312" t="s">
        <v>1193</v>
      </c>
      <c r="Q312">
        <v>0</v>
      </c>
      <c r="R312">
        <v>0</v>
      </c>
      <c r="U312" t="s">
        <v>73</v>
      </c>
      <c r="V312" t="s">
        <v>72</v>
      </c>
      <c r="W312" t="s">
        <v>72</v>
      </c>
      <c r="X312" t="s">
        <v>72</v>
      </c>
      <c r="Y312">
        <v>0</v>
      </c>
      <c r="Z312">
        <v>0</v>
      </c>
      <c r="AC312" t="s">
        <v>73</v>
      </c>
      <c r="AD312" t="s">
        <v>72</v>
      </c>
      <c r="AE312" t="s">
        <v>72</v>
      </c>
      <c r="AF312" t="s">
        <v>72</v>
      </c>
      <c r="AG312">
        <v>0</v>
      </c>
      <c r="AH312">
        <v>0</v>
      </c>
      <c r="AK312" t="s">
        <v>73</v>
      </c>
      <c r="AL312" t="s">
        <v>72</v>
      </c>
      <c r="AM312" t="s">
        <v>72</v>
      </c>
      <c r="AN312" t="s">
        <v>72</v>
      </c>
      <c r="AO312">
        <v>0</v>
      </c>
      <c r="AP312">
        <v>0</v>
      </c>
      <c r="AS312" t="s">
        <v>73</v>
      </c>
      <c r="AT312" t="s">
        <v>72</v>
      </c>
      <c r="AU312" t="s">
        <v>72</v>
      </c>
      <c r="AV312" t="s">
        <v>72</v>
      </c>
      <c r="AY312">
        <v>0</v>
      </c>
    </row>
    <row r="313" spans="1:51" x14ac:dyDescent="0.2">
      <c r="A313" t="s">
        <v>1194</v>
      </c>
      <c r="B313" t="s">
        <v>336</v>
      </c>
      <c r="C313" t="s">
        <v>337</v>
      </c>
      <c r="D313" t="s">
        <v>1187</v>
      </c>
      <c r="E313" t="s">
        <v>1188</v>
      </c>
      <c r="F313" t="s">
        <v>1189</v>
      </c>
      <c r="G313" t="s">
        <v>1190</v>
      </c>
      <c r="H313" t="s">
        <v>1191</v>
      </c>
      <c r="I313" t="s">
        <v>1195</v>
      </c>
      <c r="J313" t="s">
        <v>1193</v>
      </c>
      <c r="K313" t="s">
        <v>72</v>
      </c>
      <c r="O313" t="s">
        <v>1193</v>
      </c>
      <c r="Q313">
        <v>0</v>
      </c>
      <c r="R313">
        <v>0</v>
      </c>
      <c r="U313" t="s">
        <v>73</v>
      </c>
      <c r="V313" t="s">
        <v>72</v>
      </c>
      <c r="W313" t="s">
        <v>72</v>
      </c>
      <c r="X313" t="s">
        <v>72</v>
      </c>
      <c r="Y313">
        <v>0</v>
      </c>
      <c r="Z313">
        <v>0</v>
      </c>
      <c r="AC313" t="s">
        <v>73</v>
      </c>
      <c r="AD313" t="s">
        <v>72</v>
      </c>
      <c r="AE313" t="s">
        <v>72</v>
      </c>
      <c r="AF313" t="s">
        <v>72</v>
      </c>
      <c r="AG313">
        <v>0</v>
      </c>
      <c r="AH313">
        <v>0</v>
      </c>
      <c r="AK313" t="s">
        <v>73</v>
      </c>
      <c r="AL313" t="s">
        <v>72</v>
      </c>
      <c r="AM313" t="s">
        <v>72</v>
      </c>
      <c r="AN313" t="s">
        <v>72</v>
      </c>
      <c r="AO313">
        <v>0</v>
      </c>
      <c r="AP313">
        <v>0</v>
      </c>
      <c r="AS313" t="s">
        <v>73</v>
      </c>
      <c r="AT313" t="s">
        <v>72</v>
      </c>
      <c r="AU313" t="s">
        <v>72</v>
      </c>
      <c r="AV313" t="s">
        <v>72</v>
      </c>
      <c r="AY313">
        <v>0</v>
      </c>
    </row>
    <row r="314" spans="1:51" x14ac:dyDescent="0.2">
      <c r="A314" t="s">
        <v>1196</v>
      </c>
      <c r="B314" t="s">
        <v>336</v>
      </c>
      <c r="C314" t="s">
        <v>337</v>
      </c>
      <c r="D314" t="s">
        <v>1187</v>
      </c>
      <c r="E314" t="s">
        <v>1188</v>
      </c>
      <c r="F314" t="s">
        <v>1189</v>
      </c>
      <c r="G314" t="s">
        <v>1190</v>
      </c>
      <c r="H314" t="s">
        <v>1191</v>
      </c>
      <c r="I314" t="s">
        <v>1197</v>
      </c>
      <c r="J314" t="s">
        <v>1193</v>
      </c>
      <c r="K314" t="s">
        <v>72</v>
      </c>
      <c r="O314" t="s">
        <v>1193</v>
      </c>
      <c r="Q314">
        <v>0</v>
      </c>
      <c r="R314">
        <v>0</v>
      </c>
      <c r="U314" t="s">
        <v>73</v>
      </c>
      <c r="V314" t="s">
        <v>72</v>
      </c>
      <c r="W314" t="s">
        <v>72</v>
      </c>
      <c r="X314" t="s">
        <v>72</v>
      </c>
      <c r="Y314">
        <v>0</v>
      </c>
      <c r="Z314">
        <v>0</v>
      </c>
      <c r="AC314" t="s">
        <v>73</v>
      </c>
      <c r="AD314" t="s">
        <v>72</v>
      </c>
      <c r="AE314" t="s">
        <v>72</v>
      </c>
      <c r="AF314" t="s">
        <v>72</v>
      </c>
      <c r="AG314">
        <v>0</v>
      </c>
      <c r="AH314">
        <v>0</v>
      </c>
      <c r="AK314" t="s">
        <v>73</v>
      </c>
      <c r="AL314" t="s">
        <v>72</v>
      </c>
      <c r="AM314" t="s">
        <v>72</v>
      </c>
      <c r="AN314" t="s">
        <v>72</v>
      </c>
      <c r="AO314">
        <v>0</v>
      </c>
      <c r="AP314">
        <v>0</v>
      </c>
      <c r="AS314" t="s">
        <v>73</v>
      </c>
      <c r="AT314" t="s">
        <v>72</v>
      </c>
      <c r="AU314" t="s">
        <v>72</v>
      </c>
      <c r="AV314" t="s">
        <v>72</v>
      </c>
      <c r="AY314">
        <v>0</v>
      </c>
    </row>
    <row r="315" spans="1:51" x14ac:dyDescent="0.2">
      <c r="A315" t="s">
        <v>1198</v>
      </c>
      <c r="B315" t="s">
        <v>336</v>
      </c>
      <c r="C315" t="s">
        <v>337</v>
      </c>
      <c r="D315" t="s">
        <v>1187</v>
      </c>
      <c r="E315" t="s">
        <v>1188</v>
      </c>
      <c r="F315" t="s">
        <v>1189</v>
      </c>
      <c r="G315" t="s">
        <v>1190</v>
      </c>
      <c r="H315" t="s">
        <v>1191</v>
      </c>
      <c r="I315" t="s">
        <v>1199</v>
      </c>
      <c r="J315" t="s">
        <v>1193</v>
      </c>
      <c r="K315" t="s">
        <v>72</v>
      </c>
      <c r="O315" t="s">
        <v>1193</v>
      </c>
      <c r="Q315">
        <v>0</v>
      </c>
      <c r="R315">
        <v>0</v>
      </c>
      <c r="U315" t="s">
        <v>73</v>
      </c>
      <c r="V315" t="s">
        <v>72</v>
      </c>
      <c r="W315" t="s">
        <v>72</v>
      </c>
      <c r="X315" t="s">
        <v>72</v>
      </c>
      <c r="Y315">
        <v>0</v>
      </c>
      <c r="Z315">
        <v>0</v>
      </c>
      <c r="AC315" t="s">
        <v>73</v>
      </c>
      <c r="AD315" t="s">
        <v>72</v>
      </c>
      <c r="AE315" t="s">
        <v>72</v>
      </c>
      <c r="AF315" t="s">
        <v>72</v>
      </c>
      <c r="AG315">
        <v>0</v>
      </c>
      <c r="AH315">
        <v>0</v>
      </c>
      <c r="AK315" t="s">
        <v>73</v>
      </c>
      <c r="AL315" t="s">
        <v>72</v>
      </c>
      <c r="AM315" t="s">
        <v>72</v>
      </c>
      <c r="AN315" t="s">
        <v>72</v>
      </c>
      <c r="AO315">
        <v>0</v>
      </c>
      <c r="AP315">
        <v>0</v>
      </c>
      <c r="AS315" t="s">
        <v>73</v>
      </c>
      <c r="AT315" t="s">
        <v>72</v>
      </c>
      <c r="AU315" t="s">
        <v>72</v>
      </c>
      <c r="AV315" t="s">
        <v>72</v>
      </c>
      <c r="AY315">
        <v>0</v>
      </c>
    </row>
    <row r="316" spans="1:51" x14ac:dyDescent="0.2">
      <c r="A316" t="s">
        <v>1200</v>
      </c>
      <c r="B316" t="s">
        <v>336</v>
      </c>
      <c r="C316" t="s">
        <v>337</v>
      </c>
      <c r="D316" t="s">
        <v>1187</v>
      </c>
      <c r="E316" t="s">
        <v>1188</v>
      </c>
      <c r="F316" t="s">
        <v>1189</v>
      </c>
      <c r="G316" t="s">
        <v>1201</v>
      </c>
      <c r="H316" t="s">
        <v>1202</v>
      </c>
      <c r="I316" t="s">
        <v>1203</v>
      </c>
      <c r="J316" t="s">
        <v>1204</v>
      </c>
      <c r="K316" t="s">
        <v>72</v>
      </c>
      <c r="O316" t="s">
        <v>1204</v>
      </c>
      <c r="Q316">
        <v>0</v>
      </c>
      <c r="R316">
        <v>0</v>
      </c>
      <c r="U316" t="s">
        <v>73</v>
      </c>
      <c r="V316" t="s">
        <v>72</v>
      </c>
      <c r="W316" t="s">
        <v>72</v>
      </c>
      <c r="X316" t="s">
        <v>72</v>
      </c>
      <c r="Y316">
        <v>0</v>
      </c>
      <c r="Z316">
        <v>0</v>
      </c>
      <c r="AC316" t="s">
        <v>73</v>
      </c>
      <c r="AD316" t="s">
        <v>72</v>
      </c>
      <c r="AE316" t="s">
        <v>72</v>
      </c>
      <c r="AF316" t="s">
        <v>72</v>
      </c>
      <c r="AG316">
        <v>0</v>
      </c>
      <c r="AH316">
        <v>0</v>
      </c>
      <c r="AK316" t="s">
        <v>73</v>
      </c>
      <c r="AL316" t="s">
        <v>72</v>
      </c>
      <c r="AM316" t="s">
        <v>72</v>
      </c>
      <c r="AN316" t="s">
        <v>72</v>
      </c>
      <c r="AO316">
        <v>0</v>
      </c>
      <c r="AP316">
        <v>0</v>
      </c>
      <c r="AS316" t="s">
        <v>73</v>
      </c>
      <c r="AT316" t="s">
        <v>72</v>
      </c>
      <c r="AU316" t="s">
        <v>72</v>
      </c>
      <c r="AV316" t="s">
        <v>72</v>
      </c>
      <c r="AY316">
        <v>0</v>
      </c>
    </row>
    <row r="317" spans="1:51" x14ac:dyDescent="0.2">
      <c r="A317" t="s">
        <v>1205</v>
      </c>
      <c r="B317" t="s">
        <v>336</v>
      </c>
      <c r="C317" t="s">
        <v>337</v>
      </c>
      <c r="D317" t="s">
        <v>1187</v>
      </c>
      <c r="E317" t="s">
        <v>1188</v>
      </c>
      <c r="F317" t="s">
        <v>1189</v>
      </c>
      <c r="G317" t="s">
        <v>1201</v>
      </c>
      <c r="H317" t="s">
        <v>1202</v>
      </c>
      <c r="I317" t="s">
        <v>1206</v>
      </c>
      <c r="J317" t="s">
        <v>1204</v>
      </c>
      <c r="K317" t="s">
        <v>72</v>
      </c>
      <c r="O317" t="s">
        <v>1204</v>
      </c>
      <c r="Q317">
        <v>0</v>
      </c>
      <c r="R317">
        <v>0</v>
      </c>
      <c r="U317" t="s">
        <v>73</v>
      </c>
      <c r="V317" t="s">
        <v>72</v>
      </c>
      <c r="W317" t="s">
        <v>72</v>
      </c>
      <c r="X317" t="s">
        <v>72</v>
      </c>
      <c r="Y317">
        <v>0</v>
      </c>
      <c r="Z317">
        <v>0</v>
      </c>
      <c r="AC317" t="s">
        <v>73</v>
      </c>
      <c r="AD317" t="s">
        <v>72</v>
      </c>
      <c r="AE317" t="s">
        <v>72</v>
      </c>
      <c r="AF317" t="s">
        <v>72</v>
      </c>
      <c r="AG317">
        <v>0</v>
      </c>
      <c r="AH317">
        <v>0</v>
      </c>
      <c r="AK317" t="s">
        <v>73</v>
      </c>
      <c r="AL317" t="s">
        <v>72</v>
      </c>
      <c r="AM317" t="s">
        <v>72</v>
      </c>
      <c r="AN317" t="s">
        <v>72</v>
      </c>
      <c r="AO317">
        <v>0</v>
      </c>
      <c r="AP317">
        <v>0</v>
      </c>
      <c r="AS317" t="s">
        <v>73</v>
      </c>
      <c r="AT317" t="s">
        <v>72</v>
      </c>
      <c r="AU317" t="s">
        <v>72</v>
      </c>
      <c r="AV317" t="s">
        <v>72</v>
      </c>
      <c r="AY317">
        <v>0</v>
      </c>
    </row>
    <row r="318" spans="1:51" x14ac:dyDescent="0.2">
      <c r="A318" t="s">
        <v>1207</v>
      </c>
      <c r="B318" t="s">
        <v>336</v>
      </c>
      <c r="C318" t="s">
        <v>337</v>
      </c>
      <c r="D318" t="s">
        <v>338</v>
      </c>
      <c r="E318" t="s">
        <v>339</v>
      </c>
      <c r="F318" t="s">
        <v>340</v>
      </c>
      <c r="G318" t="s">
        <v>1208</v>
      </c>
      <c r="H318" t="s">
        <v>1209</v>
      </c>
      <c r="I318" t="s">
        <v>1210</v>
      </c>
      <c r="J318" t="s">
        <v>1211</v>
      </c>
      <c r="K318" t="s">
        <v>72</v>
      </c>
      <c r="O318" t="s">
        <v>1211</v>
      </c>
      <c r="Q318">
        <v>0</v>
      </c>
      <c r="R318">
        <v>0</v>
      </c>
      <c r="U318" t="s">
        <v>73</v>
      </c>
      <c r="V318" t="s">
        <v>72</v>
      </c>
      <c r="W318" t="s">
        <v>72</v>
      </c>
      <c r="X318" t="s">
        <v>72</v>
      </c>
      <c r="Y318">
        <v>0</v>
      </c>
      <c r="Z318">
        <v>0</v>
      </c>
      <c r="AC318" t="s">
        <v>73</v>
      </c>
      <c r="AD318" t="s">
        <v>72</v>
      </c>
      <c r="AE318" t="s">
        <v>72</v>
      </c>
      <c r="AF318" t="s">
        <v>72</v>
      </c>
      <c r="AG318">
        <v>0</v>
      </c>
      <c r="AH318">
        <v>0</v>
      </c>
      <c r="AK318" t="s">
        <v>73</v>
      </c>
      <c r="AL318" t="s">
        <v>72</v>
      </c>
      <c r="AM318" t="s">
        <v>72</v>
      </c>
      <c r="AN318" t="s">
        <v>72</v>
      </c>
      <c r="AO318">
        <v>0</v>
      </c>
      <c r="AP318">
        <v>0</v>
      </c>
      <c r="AS318" t="s">
        <v>73</v>
      </c>
      <c r="AT318" t="s">
        <v>72</v>
      </c>
      <c r="AU318" t="s">
        <v>72</v>
      </c>
      <c r="AV318" t="s">
        <v>72</v>
      </c>
      <c r="AY318">
        <v>0</v>
      </c>
    </row>
    <row r="319" spans="1:51" x14ac:dyDescent="0.2">
      <c r="A319" t="s">
        <v>1212</v>
      </c>
      <c r="B319" t="s">
        <v>336</v>
      </c>
      <c r="C319" t="s">
        <v>337</v>
      </c>
      <c r="D319" t="s">
        <v>338</v>
      </c>
      <c r="E319" t="s">
        <v>339</v>
      </c>
      <c r="F319" t="s">
        <v>340</v>
      </c>
      <c r="G319" t="s">
        <v>1208</v>
      </c>
      <c r="H319" t="s">
        <v>1209</v>
      </c>
      <c r="I319" t="s">
        <v>1213</v>
      </c>
      <c r="J319" t="s">
        <v>1211</v>
      </c>
      <c r="K319" t="s">
        <v>72</v>
      </c>
      <c r="O319" t="s">
        <v>1211</v>
      </c>
      <c r="Q319">
        <v>0</v>
      </c>
      <c r="R319">
        <v>0</v>
      </c>
      <c r="U319" t="s">
        <v>73</v>
      </c>
      <c r="V319" t="s">
        <v>72</v>
      </c>
      <c r="W319" t="s">
        <v>72</v>
      </c>
      <c r="X319" t="s">
        <v>72</v>
      </c>
      <c r="Y319">
        <v>0</v>
      </c>
      <c r="Z319">
        <v>0</v>
      </c>
      <c r="AC319" t="s">
        <v>73</v>
      </c>
      <c r="AD319" t="s">
        <v>72</v>
      </c>
      <c r="AE319" t="s">
        <v>72</v>
      </c>
      <c r="AF319" t="s">
        <v>72</v>
      </c>
      <c r="AG319">
        <v>0</v>
      </c>
      <c r="AH319">
        <v>0</v>
      </c>
      <c r="AK319" t="s">
        <v>73</v>
      </c>
      <c r="AL319" t="s">
        <v>72</v>
      </c>
      <c r="AM319" t="s">
        <v>72</v>
      </c>
      <c r="AN319" t="s">
        <v>72</v>
      </c>
      <c r="AO319">
        <v>0</v>
      </c>
      <c r="AP319">
        <v>0</v>
      </c>
      <c r="AS319" t="s">
        <v>73</v>
      </c>
      <c r="AT319" t="s">
        <v>72</v>
      </c>
      <c r="AU319" t="s">
        <v>72</v>
      </c>
      <c r="AV319" t="s">
        <v>72</v>
      </c>
      <c r="AY319">
        <v>0</v>
      </c>
    </row>
    <row r="320" spans="1:51" x14ac:dyDescent="0.2">
      <c r="A320" t="s">
        <v>1214</v>
      </c>
      <c r="B320" t="s">
        <v>336</v>
      </c>
      <c r="C320" t="s">
        <v>337</v>
      </c>
      <c r="D320" t="s">
        <v>338</v>
      </c>
      <c r="E320" t="s">
        <v>339</v>
      </c>
      <c r="F320" t="s">
        <v>340</v>
      </c>
      <c r="G320" t="s">
        <v>1215</v>
      </c>
      <c r="H320" t="s">
        <v>1216</v>
      </c>
      <c r="I320" t="s">
        <v>1217</v>
      </c>
      <c r="J320" t="s">
        <v>1211</v>
      </c>
      <c r="K320" t="s">
        <v>72</v>
      </c>
      <c r="O320" t="s">
        <v>1211</v>
      </c>
      <c r="Q320">
        <v>0</v>
      </c>
      <c r="R320">
        <v>0</v>
      </c>
      <c r="U320" t="s">
        <v>73</v>
      </c>
      <c r="V320" t="s">
        <v>72</v>
      </c>
      <c r="W320" t="s">
        <v>72</v>
      </c>
      <c r="X320" t="s">
        <v>72</v>
      </c>
      <c r="Y320">
        <v>0</v>
      </c>
      <c r="Z320">
        <v>0</v>
      </c>
      <c r="AC320" t="s">
        <v>73</v>
      </c>
      <c r="AD320" t="s">
        <v>72</v>
      </c>
      <c r="AE320" t="s">
        <v>72</v>
      </c>
      <c r="AF320" t="s">
        <v>72</v>
      </c>
      <c r="AG320">
        <v>0</v>
      </c>
      <c r="AH320">
        <v>0</v>
      </c>
      <c r="AK320" t="s">
        <v>73</v>
      </c>
      <c r="AL320" t="s">
        <v>72</v>
      </c>
      <c r="AM320" t="s">
        <v>72</v>
      </c>
      <c r="AN320" t="s">
        <v>72</v>
      </c>
      <c r="AO320">
        <v>0</v>
      </c>
      <c r="AP320">
        <v>0</v>
      </c>
      <c r="AS320" t="s">
        <v>73</v>
      </c>
      <c r="AT320" t="s">
        <v>72</v>
      </c>
      <c r="AU320" t="s">
        <v>72</v>
      </c>
      <c r="AV320" t="s">
        <v>72</v>
      </c>
      <c r="AY320">
        <v>0</v>
      </c>
    </row>
    <row r="321" spans="1:51" x14ac:dyDescent="0.2">
      <c r="A321" t="s">
        <v>1218</v>
      </c>
      <c r="B321" t="s">
        <v>336</v>
      </c>
      <c r="C321" t="s">
        <v>337</v>
      </c>
      <c r="D321" t="s">
        <v>338</v>
      </c>
      <c r="E321" t="s">
        <v>339</v>
      </c>
      <c r="F321" t="s">
        <v>340</v>
      </c>
      <c r="G321" t="s">
        <v>1215</v>
      </c>
      <c r="H321" t="s">
        <v>1216</v>
      </c>
      <c r="I321" t="s">
        <v>1219</v>
      </c>
      <c r="J321" t="s">
        <v>1211</v>
      </c>
      <c r="K321" t="s">
        <v>72</v>
      </c>
      <c r="O321" t="s">
        <v>1211</v>
      </c>
      <c r="Q321">
        <v>0</v>
      </c>
      <c r="R321">
        <v>0</v>
      </c>
      <c r="U321" t="s">
        <v>73</v>
      </c>
      <c r="V321" t="s">
        <v>72</v>
      </c>
      <c r="W321" t="s">
        <v>72</v>
      </c>
      <c r="X321" t="s">
        <v>72</v>
      </c>
      <c r="Y321">
        <v>0</v>
      </c>
      <c r="Z321">
        <v>0</v>
      </c>
      <c r="AC321" t="s">
        <v>73</v>
      </c>
      <c r="AD321" t="s">
        <v>72</v>
      </c>
      <c r="AE321" t="s">
        <v>72</v>
      </c>
      <c r="AF321" t="s">
        <v>72</v>
      </c>
      <c r="AG321">
        <v>0</v>
      </c>
      <c r="AH321">
        <v>0</v>
      </c>
      <c r="AK321" t="s">
        <v>73</v>
      </c>
      <c r="AL321" t="s">
        <v>72</v>
      </c>
      <c r="AM321" t="s">
        <v>72</v>
      </c>
      <c r="AN321" t="s">
        <v>72</v>
      </c>
      <c r="AO321">
        <v>0</v>
      </c>
      <c r="AP321">
        <v>0</v>
      </c>
      <c r="AS321" t="s">
        <v>73</v>
      </c>
      <c r="AT321" t="s">
        <v>72</v>
      </c>
      <c r="AU321" t="s">
        <v>72</v>
      </c>
      <c r="AV321" t="s">
        <v>72</v>
      </c>
      <c r="AY321">
        <v>0</v>
      </c>
    </row>
    <row r="322" spans="1:51" x14ac:dyDescent="0.2">
      <c r="A322" t="s">
        <v>1220</v>
      </c>
      <c r="B322" t="s">
        <v>336</v>
      </c>
      <c r="C322" t="s">
        <v>337</v>
      </c>
      <c r="D322" t="s">
        <v>338</v>
      </c>
      <c r="E322" t="s">
        <v>339</v>
      </c>
      <c r="F322" t="s">
        <v>340</v>
      </c>
      <c r="G322" t="s">
        <v>1221</v>
      </c>
      <c r="H322" t="s">
        <v>1222</v>
      </c>
      <c r="I322" t="s">
        <v>1223</v>
      </c>
      <c r="J322" t="s">
        <v>1224</v>
      </c>
      <c r="K322" t="s">
        <v>72</v>
      </c>
      <c r="O322" t="s">
        <v>1224</v>
      </c>
      <c r="Q322">
        <v>0</v>
      </c>
      <c r="R322">
        <v>0</v>
      </c>
      <c r="U322" t="s">
        <v>73</v>
      </c>
      <c r="V322" t="s">
        <v>72</v>
      </c>
      <c r="W322" t="s">
        <v>72</v>
      </c>
      <c r="X322" t="s">
        <v>72</v>
      </c>
      <c r="Y322">
        <v>0</v>
      </c>
      <c r="Z322">
        <v>0</v>
      </c>
      <c r="AC322" t="s">
        <v>73</v>
      </c>
      <c r="AD322" t="s">
        <v>72</v>
      </c>
      <c r="AE322" t="s">
        <v>72</v>
      </c>
      <c r="AF322" t="s">
        <v>72</v>
      </c>
      <c r="AG322">
        <v>0</v>
      </c>
      <c r="AH322">
        <v>0</v>
      </c>
      <c r="AK322" t="s">
        <v>73</v>
      </c>
      <c r="AL322" t="s">
        <v>72</v>
      </c>
      <c r="AM322" t="s">
        <v>72</v>
      </c>
      <c r="AN322" t="s">
        <v>72</v>
      </c>
      <c r="AO322">
        <v>0</v>
      </c>
      <c r="AP322">
        <v>0</v>
      </c>
      <c r="AS322" t="s">
        <v>73</v>
      </c>
      <c r="AT322" t="s">
        <v>72</v>
      </c>
      <c r="AU322" t="s">
        <v>72</v>
      </c>
      <c r="AV322" t="s">
        <v>72</v>
      </c>
      <c r="AY322">
        <v>0</v>
      </c>
    </row>
    <row r="323" spans="1:51" x14ac:dyDescent="0.2">
      <c r="A323" t="s">
        <v>1225</v>
      </c>
      <c r="B323" t="s">
        <v>336</v>
      </c>
      <c r="C323" t="s">
        <v>337</v>
      </c>
      <c r="D323" t="s">
        <v>338</v>
      </c>
      <c r="E323" t="s">
        <v>339</v>
      </c>
      <c r="F323" t="s">
        <v>340</v>
      </c>
      <c r="G323" t="s">
        <v>1221</v>
      </c>
      <c r="H323" t="s">
        <v>1222</v>
      </c>
      <c r="I323" t="s">
        <v>1226</v>
      </c>
      <c r="J323" t="s">
        <v>1224</v>
      </c>
      <c r="K323" t="s">
        <v>72</v>
      </c>
      <c r="O323" t="s">
        <v>1224</v>
      </c>
      <c r="Q323">
        <v>0</v>
      </c>
      <c r="R323">
        <v>0</v>
      </c>
      <c r="U323" t="s">
        <v>73</v>
      </c>
      <c r="V323" t="s">
        <v>72</v>
      </c>
      <c r="W323" t="s">
        <v>72</v>
      </c>
      <c r="X323" t="s">
        <v>72</v>
      </c>
      <c r="Y323">
        <v>0</v>
      </c>
      <c r="Z323">
        <v>0</v>
      </c>
      <c r="AC323" t="s">
        <v>73</v>
      </c>
      <c r="AD323" t="s">
        <v>72</v>
      </c>
      <c r="AE323" t="s">
        <v>72</v>
      </c>
      <c r="AF323" t="s">
        <v>72</v>
      </c>
      <c r="AG323">
        <v>0</v>
      </c>
      <c r="AH323">
        <v>0</v>
      </c>
      <c r="AK323" t="s">
        <v>73</v>
      </c>
      <c r="AL323" t="s">
        <v>72</v>
      </c>
      <c r="AM323" t="s">
        <v>72</v>
      </c>
      <c r="AN323" t="s">
        <v>72</v>
      </c>
      <c r="AO323">
        <v>0</v>
      </c>
      <c r="AP323">
        <v>0</v>
      </c>
      <c r="AS323" t="s">
        <v>73</v>
      </c>
      <c r="AT323" t="s">
        <v>72</v>
      </c>
      <c r="AU323" t="s">
        <v>72</v>
      </c>
      <c r="AV323" t="s">
        <v>72</v>
      </c>
      <c r="AY323">
        <v>0</v>
      </c>
    </row>
    <row r="324" spans="1:51" x14ac:dyDescent="0.2">
      <c r="A324" t="s">
        <v>1227</v>
      </c>
      <c r="B324" t="s">
        <v>336</v>
      </c>
      <c r="C324" t="s">
        <v>337</v>
      </c>
      <c r="D324" t="s">
        <v>338</v>
      </c>
      <c r="E324" t="s">
        <v>339</v>
      </c>
      <c r="F324" t="s">
        <v>340</v>
      </c>
      <c r="G324" t="s">
        <v>1221</v>
      </c>
      <c r="H324" t="s">
        <v>1222</v>
      </c>
      <c r="I324" t="s">
        <v>1228</v>
      </c>
      <c r="J324" t="s">
        <v>1224</v>
      </c>
      <c r="K324" t="s">
        <v>72</v>
      </c>
      <c r="O324" t="s">
        <v>1224</v>
      </c>
      <c r="Q324">
        <v>0</v>
      </c>
      <c r="R324">
        <v>0</v>
      </c>
      <c r="U324" t="s">
        <v>73</v>
      </c>
      <c r="V324" t="s">
        <v>72</v>
      </c>
      <c r="W324" t="s">
        <v>72</v>
      </c>
      <c r="X324" t="s">
        <v>72</v>
      </c>
      <c r="Y324">
        <v>0</v>
      </c>
      <c r="Z324">
        <v>0</v>
      </c>
      <c r="AC324" t="s">
        <v>73</v>
      </c>
      <c r="AD324" t="s">
        <v>72</v>
      </c>
      <c r="AE324" t="s">
        <v>72</v>
      </c>
      <c r="AF324" t="s">
        <v>72</v>
      </c>
      <c r="AG324">
        <v>0</v>
      </c>
      <c r="AH324">
        <v>0</v>
      </c>
      <c r="AK324" t="s">
        <v>73</v>
      </c>
      <c r="AL324" t="s">
        <v>72</v>
      </c>
      <c r="AM324" t="s">
        <v>72</v>
      </c>
      <c r="AN324" t="s">
        <v>72</v>
      </c>
      <c r="AO324">
        <v>0</v>
      </c>
      <c r="AP324">
        <v>0</v>
      </c>
      <c r="AS324" t="s">
        <v>73</v>
      </c>
      <c r="AT324" t="s">
        <v>72</v>
      </c>
      <c r="AU324" t="s">
        <v>72</v>
      </c>
      <c r="AV324" t="s">
        <v>72</v>
      </c>
      <c r="AY324">
        <v>0</v>
      </c>
    </row>
    <row r="325" spans="1:51" x14ac:dyDescent="0.2">
      <c r="A325" t="s">
        <v>1229</v>
      </c>
      <c r="B325" t="s">
        <v>336</v>
      </c>
      <c r="C325" t="s">
        <v>337</v>
      </c>
      <c r="D325" t="s">
        <v>338</v>
      </c>
      <c r="E325" t="s">
        <v>339</v>
      </c>
      <c r="F325" t="s">
        <v>340</v>
      </c>
      <c r="G325" t="s">
        <v>1230</v>
      </c>
      <c r="H325" t="s">
        <v>1231</v>
      </c>
      <c r="I325" t="s">
        <v>1232</v>
      </c>
      <c r="J325" t="s">
        <v>1233</v>
      </c>
      <c r="K325" t="s">
        <v>72</v>
      </c>
      <c r="O325" t="s">
        <v>1233</v>
      </c>
      <c r="Q325">
        <v>0</v>
      </c>
      <c r="R325">
        <v>0</v>
      </c>
      <c r="U325" t="s">
        <v>73</v>
      </c>
      <c r="V325" t="s">
        <v>72</v>
      </c>
      <c r="W325" t="s">
        <v>72</v>
      </c>
      <c r="X325" t="s">
        <v>72</v>
      </c>
      <c r="Y325">
        <v>0</v>
      </c>
      <c r="Z325">
        <v>0</v>
      </c>
      <c r="AC325" t="s">
        <v>73</v>
      </c>
      <c r="AD325" t="s">
        <v>72</v>
      </c>
      <c r="AE325" t="s">
        <v>72</v>
      </c>
      <c r="AF325" t="s">
        <v>72</v>
      </c>
      <c r="AG325">
        <v>0</v>
      </c>
      <c r="AH325">
        <v>0</v>
      </c>
      <c r="AK325" t="s">
        <v>73</v>
      </c>
      <c r="AL325" t="s">
        <v>72</v>
      </c>
      <c r="AM325" t="s">
        <v>72</v>
      </c>
      <c r="AN325" t="s">
        <v>72</v>
      </c>
      <c r="AO325">
        <v>0</v>
      </c>
      <c r="AP325">
        <v>0</v>
      </c>
      <c r="AS325" t="s">
        <v>73</v>
      </c>
      <c r="AT325" t="s">
        <v>72</v>
      </c>
      <c r="AU325" t="s">
        <v>72</v>
      </c>
      <c r="AV325" t="s">
        <v>72</v>
      </c>
      <c r="AY325">
        <v>0</v>
      </c>
    </row>
    <row r="326" spans="1:51" x14ac:dyDescent="0.2">
      <c r="A326" t="s">
        <v>1234</v>
      </c>
      <c r="B326" t="s">
        <v>336</v>
      </c>
      <c r="C326" t="s">
        <v>337</v>
      </c>
      <c r="D326" t="s">
        <v>338</v>
      </c>
      <c r="E326" t="s">
        <v>339</v>
      </c>
      <c r="F326" t="s">
        <v>340</v>
      </c>
      <c r="G326" t="s">
        <v>1230</v>
      </c>
      <c r="H326" t="s">
        <v>1231</v>
      </c>
      <c r="I326" t="s">
        <v>1235</v>
      </c>
      <c r="J326" t="s">
        <v>1233</v>
      </c>
      <c r="K326" t="s">
        <v>72</v>
      </c>
      <c r="O326" t="s">
        <v>1233</v>
      </c>
      <c r="Q326">
        <v>0</v>
      </c>
      <c r="R326">
        <v>0</v>
      </c>
      <c r="U326" t="s">
        <v>73</v>
      </c>
      <c r="V326" t="s">
        <v>72</v>
      </c>
      <c r="W326" t="s">
        <v>72</v>
      </c>
      <c r="X326" t="s">
        <v>72</v>
      </c>
      <c r="Y326">
        <v>0</v>
      </c>
      <c r="Z326">
        <v>0</v>
      </c>
      <c r="AC326" t="s">
        <v>73</v>
      </c>
      <c r="AD326" t="s">
        <v>72</v>
      </c>
      <c r="AE326" t="s">
        <v>72</v>
      </c>
      <c r="AF326" t="s">
        <v>72</v>
      </c>
      <c r="AG326">
        <v>0</v>
      </c>
      <c r="AH326">
        <v>0</v>
      </c>
      <c r="AK326" t="s">
        <v>73</v>
      </c>
      <c r="AL326" t="s">
        <v>72</v>
      </c>
      <c r="AM326" t="s">
        <v>72</v>
      </c>
      <c r="AN326" t="s">
        <v>72</v>
      </c>
      <c r="AO326">
        <v>0</v>
      </c>
      <c r="AP326">
        <v>0</v>
      </c>
      <c r="AS326" t="s">
        <v>73</v>
      </c>
      <c r="AT326" t="s">
        <v>72</v>
      </c>
      <c r="AU326" t="s">
        <v>72</v>
      </c>
      <c r="AV326" t="s">
        <v>72</v>
      </c>
      <c r="AY326">
        <v>0</v>
      </c>
    </row>
    <row r="327" spans="1:51" x14ac:dyDescent="0.2">
      <c r="A327" t="s">
        <v>1236</v>
      </c>
      <c r="B327" t="s">
        <v>336</v>
      </c>
      <c r="C327" t="s">
        <v>337</v>
      </c>
      <c r="D327" t="s">
        <v>338</v>
      </c>
      <c r="E327" t="s">
        <v>339</v>
      </c>
      <c r="F327" t="s">
        <v>340</v>
      </c>
      <c r="G327" t="s">
        <v>1237</v>
      </c>
      <c r="H327" t="s">
        <v>1238</v>
      </c>
      <c r="I327" t="s">
        <v>1239</v>
      </c>
      <c r="J327" t="s">
        <v>450</v>
      </c>
      <c r="K327" t="s">
        <v>72</v>
      </c>
      <c r="O327" t="s">
        <v>450</v>
      </c>
      <c r="Q327">
        <v>0</v>
      </c>
      <c r="R327">
        <v>0</v>
      </c>
      <c r="U327" t="s">
        <v>73</v>
      </c>
      <c r="V327" t="s">
        <v>72</v>
      </c>
      <c r="W327" t="s">
        <v>72</v>
      </c>
      <c r="X327" t="s">
        <v>72</v>
      </c>
      <c r="Y327">
        <v>0</v>
      </c>
      <c r="Z327">
        <v>0</v>
      </c>
      <c r="AC327" t="s">
        <v>73</v>
      </c>
      <c r="AD327" t="s">
        <v>72</v>
      </c>
      <c r="AE327" t="s">
        <v>72</v>
      </c>
      <c r="AF327" t="s">
        <v>72</v>
      </c>
      <c r="AG327">
        <v>0</v>
      </c>
      <c r="AH327">
        <v>0</v>
      </c>
      <c r="AK327" t="s">
        <v>73</v>
      </c>
      <c r="AL327" t="s">
        <v>72</v>
      </c>
      <c r="AM327" t="s">
        <v>72</v>
      </c>
      <c r="AN327" t="s">
        <v>72</v>
      </c>
      <c r="AO327">
        <v>0</v>
      </c>
      <c r="AP327">
        <v>0</v>
      </c>
      <c r="AS327" t="s">
        <v>73</v>
      </c>
      <c r="AT327" t="s">
        <v>72</v>
      </c>
      <c r="AU327" t="s">
        <v>72</v>
      </c>
      <c r="AV327" t="s">
        <v>72</v>
      </c>
      <c r="AY327">
        <v>0</v>
      </c>
    </row>
    <row r="328" spans="1:51" x14ac:dyDescent="0.2">
      <c r="A328" t="s">
        <v>1240</v>
      </c>
      <c r="B328" t="s">
        <v>336</v>
      </c>
      <c r="C328" t="s">
        <v>337</v>
      </c>
      <c r="D328" t="s">
        <v>338</v>
      </c>
      <c r="E328" t="s">
        <v>339</v>
      </c>
      <c r="F328" t="s">
        <v>340</v>
      </c>
      <c r="G328" t="s">
        <v>1237</v>
      </c>
      <c r="H328" t="s">
        <v>1238</v>
      </c>
      <c r="I328" t="s">
        <v>1241</v>
      </c>
      <c r="J328" t="s">
        <v>450</v>
      </c>
      <c r="K328" t="s">
        <v>72</v>
      </c>
      <c r="O328" t="s">
        <v>450</v>
      </c>
      <c r="Q328">
        <v>0</v>
      </c>
      <c r="R328">
        <v>0</v>
      </c>
      <c r="U328" t="s">
        <v>73</v>
      </c>
      <c r="V328" t="s">
        <v>72</v>
      </c>
      <c r="W328" t="s">
        <v>72</v>
      </c>
      <c r="X328" t="s">
        <v>72</v>
      </c>
      <c r="Y328">
        <v>0</v>
      </c>
      <c r="Z328">
        <v>0</v>
      </c>
      <c r="AC328" t="s">
        <v>73</v>
      </c>
      <c r="AD328" t="s">
        <v>72</v>
      </c>
      <c r="AE328" t="s">
        <v>72</v>
      </c>
      <c r="AF328" t="s">
        <v>72</v>
      </c>
      <c r="AG328">
        <v>0</v>
      </c>
      <c r="AH328">
        <v>0</v>
      </c>
      <c r="AK328" t="s">
        <v>73</v>
      </c>
      <c r="AL328" t="s">
        <v>72</v>
      </c>
      <c r="AM328" t="s">
        <v>72</v>
      </c>
      <c r="AN328" t="s">
        <v>72</v>
      </c>
      <c r="AO328">
        <v>0</v>
      </c>
      <c r="AP328">
        <v>0</v>
      </c>
      <c r="AS328" t="s">
        <v>73</v>
      </c>
      <c r="AT328" t="s">
        <v>72</v>
      </c>
      <c r="AU328" t="s">
        <v>72</v>
      </c>
      <c r="AV328" t="s">
        <v>72</v>
      </c>
      <c r="AY328">
        <v>0</v>
      </c>
    </row>
    <row r="329" spans="1:51" x14ac:dyDescent="0.2">
      <c r="A329" t="s">
        <v>1242</v>
      </c>
      <c r="B329" t="s">
        <v>225</v>
      </c>
      <c r="C329" t="s">
        <v>226</v>
      </c>
      <c r="D329" t="s">
        <v>1243</v>
      </c>
      <c r="E329" t="s">
        <v>1244</v>
      </c>
      <c r="F329" t="s">
        <v>1245</v>
      </c>
      <c r="G329" t="s">
        <v>1246</v>
      </c>
      <c r="H329" t="s">
        <v>1247</v>
      </c>
      <c r="I329" t="s">
        <v>1248</v>
      </c>
      <c r="J329" t="s">
        <v>1249</v>
      </c>
      <c r="K329" t="s">
        <v>72</v>
      </c>
      <c r="O329" t="s">
        <v>1249</v>
      </c>
      <c r="Q329">
        <v>0</v>
      </c>
      <c r="R329">
        <v>0</v>
      </c>
      <c r="U329" t="s">
        <v>73</v>
      </c>
      <c r="V329" t="s">
        <v>72</v>
      </c>
      <c r="W329" t="s">
        <v>72</v>
      </c>
      <c r="X329" t="s">
        <v>72</v>
      </c>
      <c r="Y329">
        <v>0</v>
      </c>
      <c r="Z329">
        <v>0</v>
      </c>
      <c r="AC329" t="s">
        <v>73</v>
      </c>
      <c r="AD329" t="s">
        <v>72</v>
      </c>
      <c r="AE329" t="s">
        <v>72</v>
      </c>
      <c r="AF329" t="s">
        <v>72</v>
      </c>
      <c r="AG329">
        <v>0</v>
      </c>
      <c r="AH329">
        <v>0</v>
      </c>
      <c r="AK329" t="s">
        <v>73</v>
      </c>
      <c r="AL329" t="s">
        <v>72</v>
      </c>
      <c r="AM329" t="s">
        <v>72</v>
      </c>
      <c r="AN329" t="s">
        <v>72</v>
      </c>
      <c r="AO329">
        <v>0</v>
      </c>
      <c r="AP329">
        <v>0</v>
      </c>
      <c r="AS329" t="s">
        <v>73</v>
      </c>
      <c r="AT329" t="s">
        <v>72</v>
      </c>
      <c r="AU329" t="s">
        <v>72</v>
      </c>
      <c r="AV329" t="s">
        <v>72</v>
      </c>
      <c r="AY329">
        <v>0</v>
      </c>
    </row>
    <row r="330" spans="1:51" x14ac:dyDescent="0.2">
      <c r="A330" t="s">
        <v>1250</v>
      </c>
      <c r="B330" t="s">
        <v>225</v>
      </c>
      <c r="C330" t="s">
        <v>226</v>
      </c>
      <c r="D330" t="s">
        <v>1243</v>
      </c>
      <c r="E330" t="s">
        <v>1244</v>
      </c>
      <c r="F330" t="s">
        <v>1245</v>
      </c>
      <c r="G330" t="s">
        <v>1246</v>
      </c>
      <c r="H330" t="s">
        <v>1247</v>
      </c>
      <c r="I330" t="s">
        <v>1251</v>
      </c>
      <c r="J330" t="s">
        <v>1249</v>
      </c>
      <c r="K330" t="s">
        <v>72</v>
      </c>
      <c r="O330" t="s">
        <v>1249</v>
      </c>
      <c r="Q330">
        <v>0</v>
      </c>
      <c r="R330">
        <v>0</v>
      </c>
      <c r="U330" t="s">
        <v>73</v>
      </c>
      <c r="V330" t="s">
        <v>72</v>
      </c>
      <c r="W330" t="s">
        <v>72</v>
      </c>
      <c r="X330" t="s">
        <v>72</v>
      </c>
      <c r="Y330">
        <v>0</v>
      </c>
      <c r="Z330">
        <v>0</v>
      </c>
      <c r="AC330" t="s">
        <v>73</v>
      </c>
      <c r="AD330" t="s">
        <v>72</v>
      </c>
      <c r="AE330" t="s">
        <v>72</v>
      </c>
      <c r="AF330" t="s">
        <v>72</v>
      </c>
      <c r="AG330">
        <v>0</v>
      </c>
      <c r="AH330">
        <v>0</v>
      </c>
      <c r="AK330" t="s">
        <v>73</v>
      </c>
      <c r="AL330" t="s">
        <v>72</v>
      </c>
      <c r="AM330" t="s">
        <v>72</v>
      </c>
      <c r="AN330" t="s">
        <v>72</v>
      </c>
      <c r="AO330">
        <v>0</v>
      </c>
      <c r="AP330">
        <v>0</v>
      </c>
      <c r="AS330" t="s">
        <v>73</v>
      </c>
      <c r="AT330" t="s">
        <v>72</v>
      </c>
      <c r="AU330" t="s">
        <v>72</v>
      </c>
      <c r="AV330" t="s">
        <v>72</v>
      </c>
      <c r="AY330">
        <v>0</v>
      </c>
    </row>
    <row r="331" spans="1:51" x14ac:dyDescent="0.2">
      <c r="A331" t="s">
        <v>1252</v>
      </c>
      <c r="B331" t="s">
        <v>225</v>
      </c>
      <c r="C331" t="s">
        <v>226</v>
      </c>
      <c r="D331" t="s">
        <v>1243</v>
      </c>
      <c r="E331" t="s">
        <v>1244</v>
      </c>
      <c r="F331" t="s">
        <v>1245</v>
      </c>
      <c r="G331" t="s">
        <v>1246</v>
      </c>
      <c r="H331" t="s">
        <v>1247</v>
      </c>
      <c r="I331" t="s">
        <v>1253</v>
      </c>
      <c r="J331" t="s">
        <v>1249</v>
      </c>
      <c r="K331" t="s">
        <v>72</v>
      </c>
      <c r="O331" t="s">
        <v>1249</v>
      </c>
      <c r="Q331">
        <v>0</v>
      </c>
      <c r="R331">
        <v>0</v>
      </c>
      <c r="U331" t="s">
        <v>73</v>
      </c>
      <c r="V331" t="s">
        <v>72</v>
      </c>
      <c r="W331" t="s">
        <v>72</v>
      </c>
      <c r="X331" t="s">
        <v>72</v>
      </c>
      <c r="Y331">
        <v>0</v>
      </c>
      <c r="Z331">
        <v>0</v>
      </c>
      <c r="AC331" t="s">
        <v>73</v>
      </c>
      <c r="AD331" t="s">
        <v>72</v>
      </c>
      <c r="AE331" t="s">
        <v>72</v>
      </c>
      <c r="AF331" t="s">
        <v>72</v>
      </c>
      <c r="AG331">
        <v>0</v>
      </c>
      <c r="AH331">
        <v>0</v>
      </c>
      <c r="AK331" t="s">
        <v>73</v>
      </c>
      <c r="AL331" t="s">
        <v>72</v>
      </c>
      <c r="AM331" t="s">
        <v>72</v>
      </c>
      <c r="AN331" t="s">
        <v>72</v>
      </c>
      <c r="AO331">
        <v>0</v>
      </c>
      <c r="AP331">
        <v>0</v>
      </c>
      <c r="AS331" t="s">
        <v>73</v>
      </c>
      <c r="AT331" t="s">
        <v>72</v>
      </c>
      <c r="AU331" t="s">
        <v>72</v>
      </c>
      <c r="AV331" t="s">
        <v>72</v>
      </c>
      <c r="AY331">
        <v>0</v>
      </c>
    </row>
    <row r="332" spans="1:51" x14ac:dyDescent="0.2">
      <c r="A332" t="s">
        <v>1254</v>
      </c>
      <c r="B332" t="s">
        <v>225</v>
      </c>
      <c r="C332" t="s">
        <v>226</v>
      </c>
      <c r="D332" t="s">
        <v>1243</v>
      </c>
      <c r="E332" t="s">
        <v>1244</v>
      </c>
      <c r="F332" t="s">
        <v>1245</v>
      </c>
      <c r="G332" t="s">
        <v>1246</v>
      </c>
      <c r="H332" t="s">
        <v>1247</v>
      </c>
      <c r="I332" t="s">
        <v>1255</v>
      </c>
      <c r="J332" t="s">
        <v>1249</v>
      </c>
      <c r="K332" t="s">
        <v>72</v>
      </c>
      <c r="O332" t="s">
        <v>1249</v>
      </c>
      <c r="Q332">
        <v>0</v>
      </c>
      <c r="R332">
        <v>0</v>
      </c>
      <c r="U332" t="s">
        <v>73</v>
      </c>
      <c r="V332" t="s">
        <v>72</v>
      </c>
      <c r="W332" t="s">
        <v>72</v>
      </c>
      <c r="X332" t="s">
        <v>72</v>
      </c>
      <c r="Y332">
        <v>0</v>
      </c>
      <c r="Z332">
        <v>0</v>
      </c>
      <c r="AC332" t="s">
        <v>73</v>
      </c>
      <c r="AD332" t="s">
        <v>72</v>
      </c>
      <c r="AE332" t="s">
        <v>72</v>
      </c>
      <c r="AF332" t="s">
        <v>72</v>
      </c>
      <c r="AG332">
        <v>0</v>
      </c>
      <c r="AH332">
        <v>0</v>
      </c>
      <c r="AK332" t="s">
        <v>73</v>
      </c>
      <c r="AL332" t="s">
        <v>72</v>
      </c>
      <c r="AM332" t="s">
        <v>72</v>
      </c>
      <c r="AN332" t="s">
        <v>72</v>
      </c>
      <c r="AO332">
        <v>0</v>
      </c>
      <c r="AP332">
        <v>0</v>
      </c>
      <c r="AS332" t="s">
        <v>73</v>
      </c>
      <c r="AT332" t="s">
        <v>72</v>
      </c>
      <c r="AU332" t="s">
        <v>72</v>
      </c>
      <c r="AV332" t="s">
        <v>72</v>
      </c>
      <c r="AY332">
        <v>0</v>
      </c>
    </row>
    <row r="333" spans="1:51" x14ac:dyDescent="0.2">
      <c r="A333" t="s">
        <v>1256</v>
      </c>
      <c r="B333" t="s">
        <v>225</v>
      </c>
      <c r="C333" t="s">
        <v>226</v>
      </c>
      <c r="D333" t="s">
        <v>1243</v>
      </c>
      <c r="E333" t="s">
        <v>1244</v>
      </c>
      <c r="F333" t="s">
        <v>1245</v>
      </c>
      <c r="G333" t="s">
        <v>1257</v>
      </c>
      <c r="H333" t="s">
        <v>1258</v>
      </c>
      <c r="I333" t="s">
        <v>1259</v>
      </c>
      <c r="J333" t="s">
        <v>1260</v>
      </c>
      <c r="K333" t="s">
        <v>72</v>
      </c>
      <c r="O333" t="s">
        <v>1260</v>
      </c>
      <c r="Q333">
        <v>0</v>
      </c>
      <c r="R333">
        <v>0</v>
      </c>
      <c r="U333" t="s">
        <v>73</v>
      </c>
      <c r="V333" t="s">
        <v>72</v>
      </c>
      <c r="W333" t="s">
        <v>72</v>
      </c>
      <c r="X333" t="s">
        <v>72</v>
      </c>
      <c r="Y333">
        <v>0</v>
      </c>
      <c r="Z333">
        <v>0</v>
      </c>
      <c r="AC333" t="s">
        <v>73</v>
      </c>
      <c r="AD333" t="s">
        <v>72</v>
      </c>
      <c r="AE333" t="s">
        <v>72</v>
      </c>
      <c r="AF333" t="s">
        <v>72</v>
      </c>
      <c r="AG333">
        <v>0</v>
      </c>
      <c r="AH333">
        <v>0</v>
      </c>
      <c r="AK333" t="s">
        <v>73</v>
      </c>
      <c r="AL333" t="s">
        <v>72</v>
      </c>
      <c r="AM333" t="s">
        <v>72</v>
      </c>
      <c r="AN333" t="s">
        <v>72</v>
      </c>
      <c r="AO333">
        <v>0</v>
      </c>
      <c r="AP333">
        <v>0</v>
      </c>
      <c r="AS333" t="s">
        <v>73</v>
      </c>
      <c r="AT333" t="s">
        <v>72</v>
      </c>
      <c r="AU333" t="s">
        <v>72</v>
      </c>
      <c r="AV333" t="s">
        <v>72</v>
      </c>
      <c r="AY333">
        <v>0</v>
      </c>
    </row>
    <row r="334" spans="1:51" x14ac:dyDescent="0.2">
      <c r="A334" t="s">
        <v>1261</v>
      </c>
      <c r="B334" t="s">
        <v>225</v>
      </c>
      <c r="C334" t="s">
        <v>226</v>
      </c>
      <c r="D334" t="s">
        <v>1243</v>
      </c>
      <c r="E334" t="s">
        <v>1244</v>
      </c>
      <c r="F334" t="s">
        <v>1245</v>
      </c>
      <c r="G334" t="s">
        <v>1257</v>
      </c>
      <c r="H334" t="s">
        <v>1258</v>
      </c>
      <c r="I334" t="s">
        <v>1262</v>
      </c>
      <c r="J334" t="s">
        <v>1260</v>
      </c>
      <c r="K334" t="s">
        <v>72</v>
      </c>
      <c r="O334" t="s">
        <v>1260</v>
      </c>
      <c r="Q334">
        <v>0</v>
      </c>
      <c r="R334">
        <v>0</v>
      </c>
      <c r="U334" t="s">
        <v>73</v>
      </c>
      <c r="V334" t="s">
        <v>72</v>
      </c>
      <c r="W334" t="s">
        <v>72</v>
      </c>
      <c r="X334" t="s">
        <v>72</v>
      </c>
      <c r="Y334">
        <v>0</v>
      </c>
      <c r="Z334">
        <v>0</v>
      </c>
      <c r="AC334" t="s">
        <v>73</v>
      </c>
      <c r="AD334" t="s">
        <v>72</v>
      </c>
      <c r="AE334" t="s">
        <v>72</v>
      </c>
      <c r="AF334" t="s">
        <v>72</v>
      </c>
      <c r="AG334">
        <v>0</v>
      </c>
      <c r="AH334">
        <v>0</v>
      </c>
      <c r="AK334" t="s">
        <v>73</v>
      </c>
      <c r="AL334" t="s">
        <v>72</v>
      </c>
      <c r="AM334" t="s">
        <v>72</v>
      </c>
      <c r="AN334" t="s">
        <v>72</v>
      </c>
      <c r="AO334">
        <v>0</v>
      </c>
      <c r="AP334">
        <v>0</v>
      </c>
      <c r="AS334" t="s">
        <v>73</v>
      </c>
      <c r="AT334" t="s">
        <v>72</v>
      </c>
      <c r="AU334" t="s">
        <v>72</v>
      </c>
      <c r="AV334" t="s">
        <v>72</v>
      </c>
      <c r="AY334">
        <v>0</v>
      </c>
    </row>
    <row r="335" spans="1:51" x14ac:dyDescent="0.2">
      <c r="A335" t="s">
        <v>1263</v>
      </c>
      <c r="B335" t="s">
        <v>225</v>
      </c>
      <c r="C335" t="s">
        <v>226</v>
      </c>
      <c r="D335" t="s">
        <v>1243</v>
      </c>
      <c r="E335" t="s">
        <v>1244</v>
      </c>
      <c r="F335" t="s">
        <v>1245</v>
      </c>
      <c r="G335" t="s">
        <v>1264</v>
      </c>
      <c r="H335" t="s">
        <v>1265</v>
      </c>
      <c r="I335" t="s">
        <v>1266</v>
      </c>
      <c r="J335" t="s">
        <v>1260</v>
      </c>
      <c r="K335" t="s">
        <v>72</v>
      </c>
      <c r="O335" t="s">
        <v>1260</v>
      </c>
      <c r="Q335">
        <v>0</v>
      </c>
      <c r="R335">
        <v>0</v>
      </c>
      <c r="U335" t="s">
        <v>73</v>
      </c>
      <c r="V335" t="s">
        <v>72</v>
      </c>
      <c r="W335" t="s">
        <v>72</v>
      </c>
      <c r="X335" t="s">
        <v>72</v>
      </c>
      <c r="Y335">
        <v>0</v>
      </c>
      <c r="Z335">
        <v>0</v>
      </c>
      <c r="AC335" t="s">
        <v>73</v>
      </c>
      <c r="AD335" t="s">
        <v>72</v>
      </c>
      <c r="AE335" t="s">
        <v>72</v>
      </c>
      <c r="AF335" t="s">
        <v>72</v>
      </c>
      <c r="AG335">
        <v>0</v>
      </c>
      <c r="AH335">
        <v>0</v>
      </c>
      <c r="AK335" t="s">
        <v>73</v>
      </c>
      <c r="AL335" t="s">
        <v>72</v>
      </c>
      <c r="AM335" t="s">
        <v>72</v>
      </c>
      <c r="AN335" t="s">
        <v>72</v>
      </c>
      <c r="AO335">
        <v>0</v>
      </c>
      <c r="AP335">
        <v>0</v>
      </c>
      <c r="AS335" t="s">
        <v>73</v>
      </c>
      <c r="AT335" t="s">
        <v>72</v>
      </c>
      <c r="AU335" t="s">
        <v>72</v>
      </c>
      <c r="AV335" t="s">
        <v>72</v>
      </c>
      <c r="AY335">
        <v>0</v>
      </c>
    </row>
    <row r="336" spans="1:51" x14ac:dyDescent="0.2">
      <c r="A336" t="s">
        <v>1267</v>
      </c>
      <c r="B336" t="s">
        <v>225</v>
      </c>
      <c r="C336" t="s">
        <v>226</v>
      </c>
      <c r="D336" t="s">
        <v>1243</v>
      </c>
      <c r="E336" t="s">
        <v>1244</v>
      </c>
      <c r="F336" t="s">
        <v>1245</v>
      </c>
      <c r="G336" t="s">
        <v>1268</v>
      </c>
      <c r="H336" t="s">
        <v>1269</v>
      </c>
      <c r="I336" t="s">
        <v>1270</v>
      </c>
      <c r="J336" t="s">
        <v>1271</v>
      </c>
      <c r="K336" t="s">
        <v>72</v>
      </c>
      <c r="O336" t="s">
        <v>1271</v>
      </c>
      <c r="Q336">
        <v>0</v>
      </c>
      <c r="R336">
        <v>0</v>
      </c>
      <c r="U336" t="s">
        <v>73</v>
      </c>
      <c r="V336" t="s">
        <v>72</v>
      </c>
      <c r="W336" t="s">
        <v>72</v>
      </c>
      <c r="X336" t="s">
        <v>72</v>
      </c>
      <c r="Y336">
        <v>0</v>
      </c>
      <c r="Z336">
        <v>0</v>
      </c>
      <c r="AC336" t="s">
        <v>73</v>
      </c>
      <c r="AD336" t="s">
        <v>72</v>
      </c>
      <c r="AE336" t="s">
        <v>72</v>
      </c>
      <c r="AF336" t="s">
        <v>72</v>
      </c>
      <c r="AG336">
        <v>0</v>
      </c>
      <c r="AH336">
        <v>0</v>
      </c>
      <c r="AK336" t="s">
        <v>73</v>
      </c>
      <c r="AL336" t="s">
        <v>72</v>
      </c>
      <c r="AM336" t="s">
        <v>72</v>
      </c>
      <c r="AN336" t="s">
        <v>72</v>
      </c>
      <c r="AO336">
        <v>0</v>
      </c>
      <c r="AP336">
        <v>0</v>
      </c>
      <c r="AS336" t="s">
        <v>73</v>
      </c>
      <c r="AT336" t="s">
        <v>72</v>
      </c>
      <c r="AU336" t="s">
        <v>72</v>
      </c>
      <c r="AV336" t="s">
        <v>72</v>
      </c>
      <c r="AY336">
        <v>0</v>
      </c>
    </row>
    <row r="337" spans="1:51" x14ac:dyDescent="0.2">
      <c r="A337" t="s">
        <v>1272</v>
      </c>
      <c r="B337" t="s">
        <v>225</v>
      </c>
      <c r="C337" t="s">
        <v>226</v>
      </c>
      <c r="D337" t="s">
        <v>1243</v>
      </c>
      <c r="E337" t="s">
        <v>1244</v>
      </c>
      <c r="F337" t="s">
        <v>1245</v>
      </c>
      <c r="G337" t="s">
        <v>1268</v>
      </c>
      <c r="H337" t="s">
        <v>1269</v>
      </c>
      <c r="I337" t="s">
        <v>1273</v>
      </c>
      <c r="J337" t="s">
        <v>1271</v>
      </c>
      <c r="K337" t="s">
        <v>72</v>
      </c>
      <c r="O337" t="s">
        <v>1271</v>
      </c>
      <c r="Q337">
        <v>0</v>
      </c>
      <c r="R337">
        <v>0</v>
      </c>
      <c r="U337" t="s">
        <v>73</v>
      </c>
      <c r="V337" t="s">
        <v>72</v>
      </c>
      <c r="W337" t="s">
        <v>72</v>
      </c>
      <c r="X337" t="s">
        <v>72</v>
      </c>
      <c r="Y337">
        <v>0</v>
      </c>
      <c r="Z337">
        <v>0</v>
      </c>
      <c r="AC337" t="s">
        <v>73</v>
      </c>
      <c r="AD337" t="s">
        <v>72</v>
      </c>
      <c r="AE337" t="s">
        <v>72</v>
      </c>
      <c r="AF337" t="s">
        <v>72</v>
      </c>
      <c r="AG337">
        <v>0</v>
      </c>
      <c r="AH337">
        <v>0</v>
      </c>
      <c r="AK337" t="s">
        <v>73</v>
      </c>
      <c r="AL337" t="s">
        <v>72</v>
      </c>
      <c r="AM337" t="s">
        <v>72</v>
      </c>
      <c r="AN337" t="s">
        <v>72</v>
      </c>
      <c r="AO337">
        <v>0</v>
      </c>
      <c r="AP337">
        <v>0</v>
      </c>
      <c r="AS337" t="s">
        <v>73</v>
      </c>
      <c r="AT337" t="s">
        <v>72</v>
      </c>
      <c r="AU337" t="s">
        <v>72</v>
      </c>
      <c r="AV337" t="s">
        <v>72</v>
      </c>
      <c r="AY337">
        <v>0</v>
      </c>
    </row>
    <row r="338" spans="1:51" x14ac:dyDescent="0.2">
      <c r="A338" t="s">
        <v>1274</v>
      </c>
      <c r="B338" t="s">
        <v>225</v>
      </c>
      <c r="C338" t="s">
        <v>226</v>
      </c>
      <c r="D338" t="s">
        <v>1275</v>
      </c>
      <c r="E338" t="s">
        <v>1276</v>
      </c>
      <c r="F338" t="s">
        <v>1277</v>
      </c>
      <c r="G338" t="s">
        <v>1278</v>
      </c>
      <c r="H338" t="s">
        <v>1279</v>
      </c>
      <c r="I338" t="s">
        <v>1280</v>
      </c>
      <c r="J338" t="s">
        <v>1281</v>
      </c>
      <c r="K338" t="s">
        <v>72</v>
      </c>
      <c r="O338" t="s">
        <v>1281</v>
      </c>
      <c r="Q338">
        <v>0</v>
      </c>
      <c r="R338">
        <v>0</v>
      </c>
      <c r="U338" t="s">
        <v>73</v>
      </c>
      <c r="V338" t="s">
        <v>72</v>
      </c>
      <c r="W338" t="s">
        <v>72</v>
      </c>
      <c r="X338" t="s">
        <v>72</v>
      </c>
      <c r="Y338">
        <v>0</v>
      </c>
      <c r="Z338">
        <v>0</v>
      </c>
      <c r="AC338" t="s">
        <v>73</v>
      </c>
      <c r="AD338" t="s">
        <v>72</v>
      </c>
      <c r="AE338" t="s">
        <v>72</v>
      </c>
      <c r="AF338" t="s">
        <v>72</v>
      </c>
      <c r="AG338">
        <v>0</v>
      </c>
      <c r="AH338">
        <v>0</v>
      </c>
      <c r="AK338" t="s">
        <v>73</v>
      </c>
      <c r="AL338" t="s">
        <v>72</v>
      </c>
      <c r="AM338" t="s">
        <v>72</v>
      </c>
      <c r="AN338" t="s">
        <v>72</v>
      </c>
      <c r="AO338">
        <v>0</v>
      </c>
      <c r="AP338">
        <v>0</v>
      </c>
      <c r="AS338" t="s">
        <v>73</v>
      </c>
      <c r="AT338" t="s">
        <v>72</v>
      </c>
      <c r="AU338" t="s">
        <v>72</v>
      </c>
      <c r="AV338" t="s">
        <v>72</v>
      </c>
      <c r="AY338">
        <v>0</v>
      </c>
    </row>
    <row r="339" spans="1:51" x14ac:dyDescent="0.2">
      <c r="A339" t="s">
        <v>1282</v>
      </c>
      <c r="B339" t="s">
        <v>225</v>
      </c>
      <c r="C339" t="s">
        <v>226</v>
      </c>
      <c r="D339" t="s">
        <v>1275</v>
      </c>
      <c r="E339" t="s">
        <v>1276</v>
      </c>
      <c r="F339" t="s">
        <v>1277</v>
      </c>
      <c r="G339" t="s">
        <v>1278</v>
      </c>
      <c r="H339" t="s">
        <v>1279</v>
      </c>
      <c r="I339" t="s">
        <v>1283</v>
      </c>
      <c r="J339" t="s">
        <v>1281</v>
      </c>
      <c r="K339" t="s">
        <v>72</v>
      </c>
      <c r="O339" t="s">
        <v>1281</v>
      </c>
      <c r="Q339">
        <v>0</v>
      </c>
      <c r="R339">
        <v>0</v>
      </c>
      <c r="U339" t="s">
        <v>73</v>
      </c>
      <c r="V339" t="s">
        <v>72</v>
      </c>
      <c r="W339" t="s">
        <v>72</v>
      </c>
      <c r="X339" t="s">
        <v>72</v>
      </c>
      <c r="Y339">
        <v>0</v>
      </c>
      <c r="Z339">
        <v>0</v>
      </c>
      <c r="AC339" t="s">
        <v>73</v>
      </c>
      <c r="AD339" t="s">
        <v>72</v>
      </c>
      <c r="AE339" t="s">
        <v>72</v>
      </c>
      <c r="AF339" t="s">
        <v>72</v>
      </c>
      <c r="AG339">
        <v>0</v>
      </c>
      <c r="AH339">
        <v>0</v>
      </c>
      <c r="AK339" t="s">
        <v>73</v>
      </c>
      <c r="AL339" t="s">
        <v>72</v>
      </c>
      <c r="AM339" t="s">
        <v>72</v>
      </c>
      <c r="AN339" t="s">
        <v>72</v>
      </c>
      <c r="AO339">
        <v>0</v>
      </c>
      <c r="AP339">
        <v>0</v>
      </c>
      <c r="AS339" t="s">
        <v>73</v>
      </c>
      <c r="AT339" t="s">
        <v>72</v>
      </c>
      <c r="AU339" t="s">
        <v>72</v>
      </c>
      <c r="AV339" t="s">
        <v>72</v>
      </c>
      <c r="AY339">
        <v>0</v>
      </c>
    </row>
    <row r="340" spans="1:51" x14ac:dyDescent="0.2">
      <c r="A340" t="s">
        <v>1284</v>
      </c>
      <c r="B340" t="s">
        <v>225</v>
      </c>
      <c r="C340" t="s">
        <v>226</v>
      </c>
      <c r="D340" t="s">
        <v>1275</v>
      </c>
      <c r="E340" t="s">
        <v>1276</v>
      </c>
      <c r="F340" t="s">
        <v>1277</v>
      </c>
      <c r="G340" t="s">
        <v>1278</v>
      </c>
      <c r="H340" t="s">
        <v>1279</v>
      </c>
      <c r="I340" t="s">
        <v>1285</v>
      </c>
      <c r="J340" t="s">
        <v>1281</v>
      </c>
      <c r="K340" t="s">
        <v>72</v>
      </c>
      <c r="O340" t="s">
        <v>1281</v>
      </c>
      <c r="Q340">
        <v>0</v>
      </c>
      <c r="R340">
        <v>0</v>
      </c>
      <c r="U340" t="s">
        <v>73</v>
      </c>
      <c r="V340" t="s">
        <v>72</v>
      </c>
      <c r="W340" t="s">
        <v>72</v>
      </c>
      <c r="X340" t="s">
        <v>72</v>
      </c>
      <c r="Y340">
        <v>0</v>
      </c>
      <c r="Z340">
        <v>0</v>
      </c>
      <c r="AC340" t="s">
        <v>73</v>
      </c>
      <c r="AD340" t="s">
        <v>72</v>
      </c>
      <c r="AE340" t="s">
        <v>72</v>
      </c>
      <c r="AF340" t="s">
        <v>72</v>
      </c>
      <c r="AG340">
        <v>0</v>
      </c>
      <c r="AH340">
        <v>0</v>
      </c>
      <c r="AK340" t="s">
        <v>73</v>
      </c>
      <c r="AL340" t="s">
        <v>72</v>
      </c>
      <c r="AM340" t="s">
        <v>72</v>
      </c>
      <c r="AN340" t="s">
        <v>72</v>
      </c>
      <c r="AO340">
        <v>0</v>
      </c>
      <c r="AP340">
        <v>0</v>
      </c>
      <c r="AS340" t="s">
        <v>73</v>
      </c>
      <c r="AT340" t="s">
        <v>72</v>
      </c>
      <c r="AU340" t="s">
        <v>72</v>
      </c>
      <c r="AV340" t="s">
        <v>72</v>
      </c>
      <c r="AY340">
        <v>0</v>
      </c>
    </row>
    <row r="341" spans="1:51" x14ac:dyDescent="0.2">
      <c r="A341" t="s">
        <v>1286</v>
      </c>
      <c r="B341" t="s">
        <v>225</v>
      </c>
      <c r="C341" t="s">
        <v>226</v>
      </c>
      <c r="D341" t="s">
        <v>1275</v>
      </c>
      <c r="E341" t="s">
        <v>1276</v>
      </c>
      <c r="F341" t="s">
        <v>1277</v>
      </c>
      <c r="G341" t="s">
        <v>1287</v>
      </c>
      <c r="H341" t="s">
        <v>1288</v>
      </c>
      <c r="I341" t="s">
        <v>1289</v>
      </c>
      <c r="J341" t="s">
        <v>1281</v>
      </c>
      <c r="K341" t="s">
        <v>72</v>
      </c>
      <c r="O341" t="s">
        <v>1281</v>
      </c>
      <c r="Q341">
        <v>0</v>
      </c>
      <c r="R341">
        <v>0</v>
      </c>
      <c r="U341" t="s">
        <v>73</v>
      </c>
      <c r="V341" t="s">
        <v>72</v>
      </c>
      <c r="W341" t="s">
        <v>72</v>
      </c>
      <c r="X341" t="s">
        <v>72</v>
      </c>
      <c r="Y341">
        <v>0</v>
      </c>
      <c r="Z341">
        <v>0</v>
      </c>
      <c r="AC341" t="s">
        <v>73</v>
      </c>
      <c r="AD341" t="s">
        <v>72</v>
      </c>
      <c r="AE341" t="s">
        <v>72</v>
      </c>
      <c r="AF341" t="s">
        <v>72</v>
      </c>
      <c r="AG341">
        <v>0</v>
      </c>
      <c r="AH341">
        <v>0</v>
      </c>
      <c r="AK341" t="s">
        <v>73</v>
      </c>
      <c r="AL341" t="s">
        <v>72</v>
      </c>
      <c r="AM341" t="s">
        <v>72</v>
      </c>
      <c r="AN341" t="s">
        <v>72</v>
      </c>
      <c r="AO341">
        <v>0</v>
      </c>
      <c r="AP341">
        <v>0</v>
      </c>
      <c r="AS341" t="s">
        <v>73</v>
      </c>
      <c r="AT341" t="s">
        <v>72</v>
      </c>
      <c r="AU341" t="s">
        <v>72</v>
      </c>
      <c r="AV341" t="s">
        <v>72</v>
      </c>
      <c r="AY341">
        <v>0</v>
      </c>
    </row>
    <row r="342" spans="1:51" x14ac:dyDescent="0.2">
      <c r="A342" t="s">
        <v>1290</v>
      </c>
      <c r="B342" t="s">
        <v>225</v>
      </c>
      <c r="C342" t="s">
        <v>226</v>
      </c>
      <c r="D342" t="s">
        <v>1275</v>
      </c>
      <c r="E342" t="s">
        <v>1276</v>
      </c>
      <c r="F342" t="s">
        <v>1277</v>
      </c>
      <c r="G342" t="s">
        <v>1287</v>
      </c>
      <c r="H342" t="s">
        <v>1288</v>
      </c>
      <c r="I342" t="s">
        <v>1291</v>
      </c>
      <c r="J342" t="s">
        <v>1281</v>
      </c>
      <c r="K342" t="s">
        <v>72</v>
      </c>
      <c r="O342" t="s">
        <v>1281</v>
      </c>
      <c r="Q342">
        <v>0</v>
      </c>
      <c r="R342">
        <v>0</v>
      </c>
      <c r="U342" t="s">
        <v>73</v>
      </c>
      <c r="V342" t="s">
        <v>72</v>
      </c>
      <c r="W342" t="s">
        <v>72</v>
      </c>
      <c r="X342" t="s">
        <v>72</v>
      </c>
      <c r="Y342">
        <v>0</v>
      </c>
      <c r="Z342">
        <v>0</v>
      </c>
      <c r="AC342" t="s">
        <v>73</v>
      </c>
      <c r="AD342" t="s">
        <v>72</v>
      </c>
      <c r="AE342" t="s">
        <v>72</v>
      </c>
      <c r="AF342" t="s">
        <v>72</v>
      </c>
      <c r="AG342">
        <v>0</v>
      </c>
      <c r="AH342">
        <v>0</v>
      </c>
      <c r="AK342" t="s">
        <v>73</v>
      </c>
      <c r="AL342" t="s">
        <v>72</v>
      </c>
      <c r="AM342" t="s">
        <v>72</v>
      </c>
      <c r="AN342" t="s">
        <v>72</v>
      </c>
      <c r="AO342">
        <v>0</v>
      </c>
      <c r="AP342">
        <v>0</v>
      </c>
      <c r="AS342" t="s">
        <v>73</v>
      </c>
      <c r="AT342" t="s">
        <v>72</v>
      </c>
      <c r="AU342" t="s">
        <v>72</v>
      </c>
      <c r="AV342" t="s">
        <v>72</v>
      </c>
      <c r="AY342">
        <v>0</v>
      </c>
    </row>
    <row r="343" spans="1:51" x14ac:dyDescent="0.2">
      <c r="A343" t="s">
        <v>1292</v>
      </c>
      <c r="B343" t="s">
        <v>225</v>
      </c>
      <c r="C343" t="s">
        <v>226</v>
      </c>
      <c r="D343" t="s">
        <v>1275</v>
      </c>
      <c r="E343" t="s">
        <v>1276</v>
      </c>
      <c r="F343" t="s">
        <v>1277</v>
      </c>
      <c r="G343" t="s">
        <v>1287</v>
      </c>
      <c r="H343" t="s">
        <v>1288</v>
      </c>
      <c r="I343" t="s">
        <v>1293</v>
      </c>
      <c r="J343" t="s">
        <v>1281</v>
      </c>
      <c r="K343" t="s">
        <v>72</v>
      </c>
      <c r="O343" t="s">
        <v>1281</v>
      </c>
      <c r="Q343">
        <v>0</v>
      </c>
      <c r="R343">
        <v>0</v>
      </c>
      <c r="U343" t="s">
        <v>73</v>
      </c>
      <c r="V343" t="s">
        <v>72</v>
      </c>
      <c r="W343" t="s">
        <v>72</v>
      </c>
      <c r="X343" t="s">
        <v>72</v>
      </c>
      <c r="Y343">
        <v>0</v>
      </c>
      <c r="Z343">
        <v>0</v>
      </c>
      <c r="AC343" t="s">
        <v>73</v>
      </c>
      <c r="AD343" t="s">
        <v>72</v>
      </c>
      <c r="AE343" t="s">
        <v>72</v>
      </c>
      <c r="AF343" t="s">
        <v>72</v>
      </c>
      <c r="AG343">
        <v>0</v>
      </c>
      <c r="AH343">
        <v>0</v>
      </c>
      <c r="AK343" t="s">
        <v>73</v>
      </c>
      <c r="AL343" t="s">
        <v>72</v>
      </c>
      <c r="AM343" t="s">
        <v>72</v>
      </c>
      <c r="AN343" t="s">
        <v>72</v>
      </c>
      <c r="AO343">
        <v>0</v>
      </c>
      <c r="AP343">
        <v>0</v>
      </c>
      <c r="AS343" t="s">
        <v>73</v>
      </c>
      <c r="AT343" t="s">
        <v>72</v>
      </c>
      <c r="AU343" t="s">
        <v>72</v>
      </c>
      <c r="AV343" t="s">
        <v>72</v>
      </c>
      <c r="AY343">
        <v>0</v>
      </c>
    </row>
    <row r="344" spans="1:51" x14ac:dyDescent="0.2">
      <c r="A344" t="s">
        <v>1294</v>
      </c>
      <c r="B344" t="s">
        <v>225</v>
      </c>
      <c r="C344" t="s">
        <v>226</v>
      </c>
      <c r="D344" t="s">
        <v>1275</v>
      </c>
      <c r="E344" t="s">
        <v>1276</v>
      </c>
      <c r="F344" t="s">
        <v>1277</v>
      </c>
      <c r="G344" t="s">
        <v>1287</v>
      </c>
      <c r="H344" t="s">
        <v>1288</v>
      </c>
      <c r="I344" t="s">
        <v>1295</v>
      </c>
      <c r="J344" t="s">
        <v>1281</v>
      </c>
      <c r="K344" t="s">
        <v>72</v>
      </c>
      <c r="O344" t="s">
        <v>1281</v>
      </c>
      <c r="Q344">
        <v>0</v>
      </c>
      <c r="R344">
        <v>0</v>
      </c>
      <c r="U344" t="s">
        <v>73</v>
      </c>
      <c r="V344" t="s">
        <v>72</v>
      </c>
      <c r="W344" t="s">
        <v>72</v>
      </c>
      <c r="X344" t="s">
        <v>72</v>
      </c>
      <c r="Y344">
        <v>0</v>
      </c>
      <c r="Z344">
        <v>0</v>
      </c>
      <c r="AC344" t="s">
        <v>73</v>
      </c>
      <c r="AD344" t="s">
        <v>72</v>
      </c>
      <c r="AE344" t="s">
        <v>72</v>
      </c>
      <c r="AF344" t="s">
        <v>72</v>
      </c>
      <c r="AG344">
        <v>0</v>
      </c>
      <c r="AH344">
        <v>0</v>
      </c>
      <c r="AK344" t="s">
        <v>73</v>
      </c>
      <c r="AL344" t="s">
        <v>72</v>
      </c>
      <c r="AM344" t="s">
        <v>72</v>
      </c>
      <c r="AN344" t="s">
        <v>72</v>
      </c>
      <c r="AO344">
        <v>0</v>
      </c>
      <c r="AP344">
        <v>0</v>
      </c>
      <c r="AS344" t="s">
        <v>73</v>
      </c>
      <c r="AT344" t="s">
        <v>72</v>
      </c>
      <c r="AU344" t="s">
        <v>72</v>
      </c>
      <c r="AV344" t="s">
        <v>72</v>
      </c>
      <c r="AY344">
        <v>0</v>
      </c>
    </row>
    <row r="345" spans="1:51" x14ac:dyDescent="0.2">
      <c r="A345" t="s">
        <v>1296</v>
      </c>
      <c r="B345" t="s">
        <v>225</v>
      </c>
      <c r="C345" t="s">
        <v>226</v>
      </c>
      <c r="D345" t="s">
        <v>1275</v>
      </c>
      <c r="E345" t="s">
        <v>1276</v>
      </c>
      <c r="F345" t="s">
        <v>1277</v>
      </c>
      <c r="G345" t="s">
        <v>1287</v>
      </c>
      <c r="H345" t="s">
        <v>1288</v>
      </c>
      <c r="I345" t="s">
        <v>1297</v>
      </c>
      <c r="J345" t="s">
        <v>1281</v>
      </c>
      <c r="K345" t="s">
        <v>72</v>
      </c>
      <c r="O345" t="s">
        <v>1281</v>
      </c>
      <c r="Q345">
        <v>0</v>
      </c>
      <c r="R345">
        <v>0</v>
      </c>
      <c r="U345" t="s">
        <v>73</v>
      </c>
      <c r="V345" t="s">
        <v>72</v>
      </c>
      <c r="W345" t="s">
        <v>72</v>
      </c>
      <c r="X345" t="s">
        <v>72</v>
      </c>
      <c r="Y345">
        <v>0</v>
      </c>
      <c r="Z345">
        <v>0</v>
      </c>
      <c r="AC345" t="s">
        <v>73</v>
      </c>
      <c r="AD345" t="s">
        <v>72</v>
      </c>
      <c r="AE345" t="s">
        <v>72</v>
      </c>
      <c r="AF345" t="s">
        <v>72</v>
      </c>
      <c r="AG345">
        <v>0</v>
      </c>
      <c r="AH345">
        <v>0</v>
      </c>
      <c r="AK345" t="s">
        <v>73</v>
      </c>
      <c r="AL345" t="s">
        <v>72</v>
      </c>
      <c r="AM345" t="s">
        <v>72</v>
      </c>
      <c r="AN345" t="s">
        <v>72</v>
      </c>
      <c r="AO345">
        <v>0</v>
      </c>
      <c r="AP345">
        <v>0</v>
      </c>
      <c r="AS345" t="s">
        <v>73</v>
      </c>
      <c r="AT345" t="s">
        <v>72</v>
      </c>
      <c r="AU345" t="s">
        <v>72</v>
      </c>
      <c r="AV345" t="s">
        <v>72</v>
      </c>
      <c r="AY345">
        <v>0</v>
      </c>
    </row>
    <row r="346" spans="1:51" x14ac:dyDescent="0.2">
      <c r="A346" t="s">
        <v>1298</v>
      </c>
      <c r="B346" t="s">
        <v>225</v>
      </c>
      <c r="C346" t="s">
        <v>226</v>
      </c>
      <c r="D346" t="s">
        <v>1275</v>
      </c>
      <c r="E346" t="s">
        <v>1276</v>
      </c>
      <c r="F346" t="s">
        <v>1277</v>
      </c>
      <c r="G346" t="s">
        <v>1287</v>
      </c>
      <c r="H346" t="s">
        <v>1288</v>
      </c>
      <c r="I346" t="s">
        <v>1299</v>
      </c>
      <c r="J346" t="s">
        <v>1281</v>
      </c>
      <c r="K346" t="s">
        <v>72</v>
      </c>
      <c r="O346" t="s">
        <v>1281</v>
      </c>
      <c r="Q346">
        <v>0</v>
      </c>
      <c r="R346">
        <v>0</v>
      </c>
      <c r="U346" t="s">
        <v>73</v>
      </c>
      <c r="V346" t="s">
        <v>72</v>
      </c>
      <c r="W346" t="s">
        <v>72</v>
      </c>
      <c r="X346" t="s">
        <v>72</v>
      </c>
      <c r="Y346">
        <v>0</v>
      </c>
      <c r="Z346">
        <v>0</v>
      </c>
      <c r="AC346" t="s">
        <v>73</v>
      </c>
      <c r="AD346" t="s">
        <v>72</v>
      </c>
      <c r="AE346" t="s">
        <v>72</v>
      </c>
      <c r="AF346" t="s">
        <v>72</v>
      </c>
      <c r="AG346">
        <v>0</v>
      </c>
      <c r="AH346">
        <v>0</v>
      </c>
      <c r="AK346" t="s">
        <v>73</v>
      </c>
      <c r="AL346" t="s">
        <v>72</v>
      </c>
      <c r="AM346" t="s">
        <v>72</v>
      </c>
      <c r="AN346" t="s">
        <v>72</v>
      </c>
      <c r="AO346">
        <v>0</v>
      </c>
      <c r="AP346">
        <v>0</v>
      </c>
      <c r="AS346" t="s">
        <v>73</v>
      </c>
      <c r="AT346" t="s">
        <v>72</v>
      </c>
      <c r="AU346" t="s">
        <v>72</v>
      </c>
      <c r="AV346" t="s">
        <v>72</v>
      </c>
      <c r="AY346">
        <v>0</v>
      </c>
    </row>
    <row r="347" spans="1:51" x14ac:dyDescent="0.2">
      <c r="A347" t="s">
        <v>1300</v>
      </c>
      <c r="B347" t="s">
        <v>225</v>
      </c>
      <c r="C347" t="s">
        <v>226</v>
      </c>
      <c r="D347" t="s">
        <v>426</v>
      </c>
      <c r="E347" t="s">
        <v>427</v>
      </c>
      <c r="F347" t="s">
        <v>428</v>
      </c>
      <c r="G347" t="s">
        <v>1301</v>
      </c>
      <c r="H347" t="s">
        <v>1302</v>
      </c>
      <c r="I347" t="s">
        <v>1303</v>
      </c>
      <c r="J347" t="s">
        <v>1304</v>
      </c>
      <c r="K347" t="s">
        <v>72</v>
      </c>
      <c r="O347" t="s">
        <v>1304</v>
      </c>
      <c r="Q347">
        <v>0</v>
      </c>
      <c r="R347">
        <v>0</v>
      </c>
      <c r="U347" t="s">
        <v>73</v>
      </c>
      <c r="V347" t="s">
        <v>72</v>
      </c>
      <c r="W347" t="s">
        <v>72</v>
      </c>
      <c r="X347" t="s">
        <v>72</v>
      </c>
      <c r="Y347">
        <v>0</v>
      </c>
      <c r="Z347">
        <v>0</v>
      </c>
      <c r="AC347" t="s">
        <v>73</v>
      </c>
      <c r="AD347" t="s">
        <v>72</v>
      </c>
      <c r="AE347" t="s">
        <v>72</v>
      </c>
      <c r="AF347" t="s">
        <v>72</v>
      </c>
      <c r="AG347">
        <v>0</v>
      </c>
      <c r="AH347">
        <v>0</v>
      </c>
      <c r="AK347" t="s">
        <v>73</v>
      </c>
      <c r="AL347" t="s">
        <v>72</v>
      </c>
      <c r="AM347" t="s">
        <v>72</v>
      </c>
      <c r="AN347" t="s">
        <v>72</v>
      </c>
      <c r="AO347">
        <v>0</v>
      </c>
      <c r="AP347">
        <v>0</v>
      </c>
      <c r="AS347" t="s">
        <v>73</v>
      </c>
      <c r="AT347" t="s">
        <v>72</v>
      </c>
      <c r="AU347" t="s">
        <v>72</v>
      </c>
      <c r="AV347" t="s">
        <v>72</v>
      </c>
      <c r="AY347">
        <v>0</v>
      </c>
    </row>
    <row r="348" spans="1:51" x14ac:dyDescent="0.2">
      <c r="A348" t="s">
        <v>1305</v>
      </c>
      <c r="B348" t="s">
        <v>225</v>
      </c>
      <c r="C348" t="s">
        <v>226</v>
      </c>
      <c r="D348" t="s">
        <v>426</v>
      </c>
      <c r="E348" t="s">
        <v>427</v>
      </c>
      <c r="F348" t="s">
        <v>428</v>
      </c>
      <c r="G348" t="s">
        <v>1301</v>
      </c>
      <c r="H348" t="s">
        <v>1302</v>
      </c>
      <c r="I348" t="s">
        <v>1306</v>
      </c>
      <c r="J348" t="s">
        <v>1304</v>
      </c>
      <c r="K348" t="s">
        <v>72</v>
      </c>
      <c r="O348" t="s">
        <v>1304</v>
      </c>
      <c r="Q348">
        <v>0</v>
      </c>
      <c r="R348">
        <v>0</v>
      </c>
      <c r="U348" t="s">
        <v>73</v>
      </c>
      <c r="V348" t="s">
        <v>72</v>
      </c>
      <c r="W348" t="s">
        <v>72</v>
      </c>
      <c r="X348" t="s">
        <v>72</v>
      </c>
      <c r="Y348">
        <v>0</v>
      </c>
      <c r="Z348">
        <v>0</v>
      </c>
      <c r="AC348" t="s">
        <v>73</v>
      </c>
      <c r="AD348" t="s">
        <v>72</v>
      </c>
      <c r="AE348" t="s">
        <v>72</v>
      </c>
      <c r="AF348" t="s">
        <v>72</v>
      </c>
      <c r="AG348">
        <v>0</v>
      </c>
      <c r="AH348">
        <v>0</v>
      </c>
      <c r="AK348" t="s">
        <v>73</v>
      </c>
      <c r="AL348" t="s">
        <v>72</v>
      </c>
      <c r="AM348" t="s">
        <v>72</v>
      </c>
      <c r="AN348" t="s">
        <v>72</v>
      </c>
      <c r="AO348">
        <v>0</v>
      </c>
      <c r="AP348">
        <v>0</v>
      </c>
      <c r="AS348" t="s">
        <v>73</v>
      </c>
      <c r="AT348" t="s">
        <v>72</v>
      </c>
      <c r="AU348" t="s">
        <v>72</v>
      </c>
      <c r="AV348" t="s">
        <v>72</v>
      </c>
      <c r="AY348">
        <v>0</v>
      </c>
    </row>
    <row r="349" spans="1:51" x14ac:dyDescent="0.2">
      <c r="A349" t="s">
        <v>1307</v>
      </c>
      <c r="B349" t="s">
        <v>225</v>
      </c>
      <c r="C349" t="s">
        <v>226</v>
      </c>
      <c r="D349" t="s">
        <v>426</v>
      </c>
      <c r="E349" t="s">
        <v>427</v>
      </c>
      <c r="F349" t="s">
        <v>428</v>
      </c>
      <c r="G349" t="s">
        <v>1301</v>
      </c>
      <c r="H349" t="s">
        <v>1302</v>
      </c>
      <c r="I349" t="s">
        <v>1308</v>
      </c>
      <c r="J349" t="s">
        <v>1304</v>
      </c>
      <c r="K349" t="s">
        <v>72</v>
      </c>
      <c r="O349" t="s">
        <v>1304</v>
      </c>
      <c r="Q349">
        <v>0</v>
      </c>
      <c r="R349">
        <v>0</v>
      </c>
      <c r="U349" t="s">
        <v>73</v>
      </c>
      <c r="V349" t="s">
        <v>72</v>
      </c>
      <c r="W349" t="s">
        <v>72</v>
      </c>
      <c r="X349" t="s">
        <v>72</v>
      </c>
      <c r="Y349">
        <v>0</v>
      </c>
      <c r="Z349">
        <v>0</v>
      </c>
      <c r="AC349" t="s">
        <v>73</v>
      </c>
      <c r="AD349" t="s">
        <v>72</v>
      </c>
      <c r="AE349" t="s">
        <v>72</v>
      </c>
      <c r="AF349" t="s">
        <v>72</v>
      </c>
      <c r="AG349">
        <v>0</v>
      </c>
      <c r="AH349">
        <v>0</v>
      </c>
      <c r="AK349" t="s">
        <v>73</v>
      </c>
      <c r="AL349" t="s">
        <v>72</v>
      </c>
      <c r="AM349" t="s">
        <v>72</v>
      </c>
      <c r="AN349" t="s">
        <v>72</v>
      </c>
      <c r="AO349">
        <v>0</v>
      </c>
      <c r="AP349">
        <v>0</v>
      </c>
      <c r="AS349" t="s">
        <v>73</v>
      </c>
      <c r="AT349" t="s">
        <v>72</v>
      </c>
      <c r="AU349" t="s">
        <v>72</v>
      </c>
      <c r="AV349" t="s">
        <v>72</v>
      </c>
      <c r="AY349">
        <v>0</v>
      </c>
    </row>
    <row r="350" spans="1:51" x14ac:dyDescent="0.2">
      <c r="A350" t="s">
        <v>1309</v>
      </c>
      <c r="B350" t="s">
        <v>225</v>
      </c>
      <c r="C350" t="s">
        <v>226</v>
      </c>
      <c r="D350" t="s">
        <v>426</v>
      </c>
      <c r="E350" t="s">
        <v>427</v>
      </c>
      <c r="F350" t="s">
        <v>428</v>
      </c>
      <c r="G350" t="s">
        <v>1301</v>
      </c>
      <c r="H350" t="s">
        <v>1302</v>
      </c>
      <c r="I350" t="s">
        <v>1310</v>
      </c>
      <c r="J350" t="s">
        <v>1304</v>
      </c>
      <c r="K350" t="s">
        <v>72</v>
      </c>
      <c r="O350" t="s">
        <v>1304</v>
      </c>
      <c r="Q350">
        <v>0</v>
      </c>
      <c r="R350">
        <v>0</v>
      </c>
      <c r="U350" t="s">
        <v>73</v>
      </c>
      <c r="V350" t="s">
        <v>72</v>
      </c>
      <c r="W350" t="s">
        <v>72</v>
      </c>
      <c r="X350" t="s">
        <v>72</v>
      </c>
      <c r="Y350">
        <v>0</v>
      </c>
      <c r="Z350">
        <v>0</v>
      </c>
      <c r="AC350" t="s">
        <v>73</v>
      </c>
      <c r="AD350" t="s">
        <v>72</v>
      </c>
      <c r="AE350" t="s">
        <v>72</v>
      </c>
      <c r="AF350" t="s">
        <v>72</v>
      </c>
      <c r="AG350">
        <v>0</v>
      </c>
      <c r="AH350">
        <v>0</v>
      </c>
      <c r="AK350" t="s">
        <v>73</v>
      </c>
      <c r="AL350" t="s">
        <v>72</v>
      </c>
      <c r="AM350" t="s">
        <v>72</v>
      </c>
      <c r="AN350" t="s">
        <v>72</v>
      </c>
      <c r="AO350">
        <v>0</v>
      </c>
      <c r="AP350">
        <v>0</v>
      </c>
      <c r="AS350" t="s">
        <v>73</v>
      </c>
      <c r="AT350" t="s">
        <v>72</v>
      </c>
      <c r="AU350" t="s">
        <v>72</v>
      </c>
      <c r="AV350" t="s">
        <v>72</v>
      </c>
      <c r="AY350">
        <v>0</v>
      </c>
    </row>
    <row r="351" spans="1:51" x14ac:dyDescent="0.2">
      <c r="A351" t="s">
        <v>1311</v>
      </c>
      <c r="B351" t="s">
        <v>225</v>
      </c>
      <c r="C351" t="s">
        <v>226</v>
      </c>
      <c r="D351" t="s">
        <v>426</v>
      </c>
      <c r="E351" t="s">
        <v>427</v>
      </c>
      <c r="F351" t="s">
        <v>428</v>
      </c>
      <c r="G351" t="s">
        <v>1312</v>
      </c>
      <c r="H351" t="s">
        <v>1313</v>
      </c>
      <c r="I351" t="s">
        <v>1314</v>
      </c>
      <c r="J351" t="s">
        <v>433</v>
      </c>
      <c r="K351" t="s">
        <v>72</v>
      </c>
      <c r="O351" t="s">
        <v>433</v>
      </c>
      <c r="Q351">
        <v>0</v>
      </c>
      <c r="R351">
        <v>0</v>
      </c>
      <c r="U351" t="s">
        <v>73</v>
      </c>
      <c r="V351" t="s">
        <v>72</v>
      </c>
      <c r="W351" t="s">
        <v>72</v>
      </c>
      <c r="X351" t="s">
        <v>72</v>
      </c>
      <c r="Y351">
        <v>0</v>
      </c>
      <c r="Z351">
        <v>0</v>
      </c>
      <c r="AC351" t="s">
        <v>73</v>
      </c>
      <c r="AD351" t="s">
        <v>72</v>
      </c>
      <c r="AE351" t="s">
        <v>72</v>
      </c>
      <c r="AF351" t="s">
        <v>72</v>
      </c>
      <c r="AG351">
        <v>0</v>
      </c>
      <c r="AH351">
        <v>0</v>
      </c>
      <c r="AK351" t="s">
        <v>73</v>
      </c>
      <c r="AL351" t="s">
        <v>72</v>
      </c>
      <c r="AM351" t="s">
        <v>72</v>
      </c>
      <c r="AN351" t="s">
        <v>72</v>
      </c>
      <c r="AO351">
        <v>0</v>
      </c>
      <c r="AP351">
        <v>0</v>
      </c>
      <c r="AS351" t="s">
        <v>73</v>
      </c>
      <c r="AT351" t="s">
        <v>72</v>
      </c>
      <c r="AU351" t="s">
        <v>72</v>
      </c>
      <c r="AV351" t="s">
        <v>72</v>
      </c>
      <c r="AY351">
        <v>0</v>
      </c>
    </row>
    <row r="352" spans="1:51" x14ac:dyDescent="0.2">
      <c r="A352" t="s">
        <v>1315</v>
      </c>
      <c r="B352" t="s">
        <v>225</v>
      </c>
      <c r="C352" t="s">
        <v>226</v>
      </c>
      <c r="D352" t="s">
        <v>426</v>
      </c>
      <c r="E352" t="s">
        <v>427</v>
      </c>
      <c r="F352" t="s">
        <v>428</v>
      </c>
      <c r="G352" t="s">
        <v>1312</v>
      </c>
      <c r="H352" t="s">
        <v>1313</v>
      </c>
      <c r="I352" t="s">
        <v>1316</v>
      </c>
      <c r="J352" t="s">
        <v>433</v>
      </c>
      <c r="K352" t="s">
        <v>72</v>
      </c>
      <c r="O352" t="s">
        <v>433</v>
      </c>
      <c r="Q352">
        <v>0</v>
      </c>
      <c r="R352">
        <v>0</v>
      </c>
      <c r="U352" t="s">
        <v>73</v>
      </c>
      <c r="V352" t="s">
        <v>72</v>
      </c>
      <c r="W352" t="s">
        <v>72</v>
      </c>
      <c r="X352" t="s">
        <v>72</v>
      </c>
      <c r="Y352">
        <v>0</v>
      </c>
      <c r="Z352">
        <v>0</v>
      </c>
      <c r="AC352" t="s">
        <v>73</v>
      </c>
      <c r="AD352" t="s">
        <v>72</v>
      </c>
      <c r="AE352" t="s">
        <v>72</v>
      </c>
      <c r="AF352" t="s">
        <v>72</v>
      </c>
      <c r="AG352">
        <v>0</v>
      </c>
      <c r="AH352">
        <v>0</v>
      </c>
      <c r="AK352" t="s">
        <v>73</v>
      </c>
      <c r="AL352" t="s">
        <v>72</v>
      </c>
      <c r="AM352" t="s">
        <v>72</v>
      </c>
      <c r="AN352" t="s">
        <v>72</v>
      </c>
      <c r="AO352">
        <v>0</v>
      </c>
      <c r="AP352">
        <v>0</v>
      </c>
      <c r="AS352" t="s">
        <v>73</v>
      </c>
      <c r="AT352" t="s">
        <v>72</v>
      </c>
      <c r="AU352" t="s">
        <v>72</v>
      </c>
      <c r="AV352" t="s">
        <v>72</v>
      </c>
      <c r="AY352">
        <v>0</v>
      </c>
    </row>
    <row r="353" spans="1:51" x14ac:dyDescent="0.2">
      <c r="A353" t="s">
        <v>1317</v>
      </c>
      <c r="B353" t="s">
        <v>225</v>
      </c>
      <c r="C353" t="s">
        <v>226</v>
      </c>
      <c r="D353" t="s">
        <v>426</v>
      </c>
      <c r="E353" t="s">
        <v>427</v>
      </c>
      <c r="F353" t="s">
        <v>428</v>
      </c>
      <c r="G353" t="s">
        <v>429</v>
      </c>
      <c r="H353" t="s">
        <v>430</v>
      </c>
      <c r="I353" t="s">
        <v>1318</v>
      </c>
      <c r="J353" t="s">
        <v>433</v>
      </c>
      <c r="K353" t="s">
        <v>72</v>
      </c>
      <c r="O353" t="s">
        <v>433</v>
      </c>
      <c r="Q353">
        <v>0</v>
      </c>
      <c r="R353">
        <v>0</v>
      </c>
      <c r="U353" t="s">
        <v>73</v>
      </c>
      <c r="V353" t="s">
        <v>72</v>
      </c>
      <c r="W353" t="s">
        <v>72</v>
      </c>
      <c r="X353" t="s">
        <v>72</v>
      </c>
      <c r="Y353">
        <v>0</v>
      </c>
      <c r="Z353">
        <v>0</v>
      </c>
      <c r="AC353" t="s">
        <v>73</v>
      </c>
      <c r="AD353" t="s">
        <v>72</v>
      </c>
      <c r="AE353" t="s">
        <v>72</v>
      </c>
      <c r="AF353" t="s">
        <v>72</v>
      </c>
      <c r="AG353">
        <v>0</v>
      </c>
      <c r="AH353">
        <v>0</v>
      </c>
      <c r="AK353" t="s">
        <v>73</v>
      </c>
      <c r="AL353" t="s">
        <v>72</v>
      </c>
      <c r="AM353" t="s">
        <v>72</v>
      </c>
      <c r="AN353" t="s">
        <v>72</v>
      </c>
      <c r="AO353">
        <v>0</v>
      </c>
      <c r="AP353">
        <v>0</v>
      </c>
      <c r="AS353" t="s">
        <v>73</v>
      </c>
      <c r="AT353" t="s">
        <v>72</v>
      </c>
      <c r="AU353" t="s">
        <v>72</v>
      </c>
      <c r="AV353" t="s">
        <v>72</v>
      </c>
      <c r="AY353">
        <v>0</v>
      </c>
    </row>
    <row r="354" spans="1:51" x14ac:dyDescent="0.2">
      <c r="A354" t="s">
        <v>1319</v>
      </c>
      <c r="B354" t="s">
        <v>225</v>
      </c>
      <c r="C354" t="s">
        <v>226</v>
      </c>
      <c r="D354" t="s">
        <v>426</v>
      </c>
      <c r="E354" t="s">
        <v>427</v>
      </c>
      <c r="F354" t="s">
        <v>428</v>
      </c>
      <c r="G354" t="s">
        <v>429</v>
      </c>
      <c r="H354" t="s">
        <v>430</v>
      </c>
      <c r="I354" t="s">
        <v>1320</v>
      </c>
      <c r="J354" t="s">
        <v>433</v>
      </c>
      <c r="K354" t="s">
        <v>72</v>
      </c>
      <c r="O354" t="s">
        <v>433</v>
      </c>
      <c r="Q354">
        <v>0</v>
      </c>
      <c r="R354">
        <v>0</v>
      </c>
      <c r="U354" t="s">
        <v>73</v>
      </c>
      <c r="V354" t="s">
        <v>72</v>
      </c>
      <c r="W354" t="s">
        <v>72</v>
      </c>
      <c r="X354" t="s">
        <v>72</v>
      </c>
      <c r="Y354">
        <v>0</v>
      </c>
      <c r="Z354">
        <v>0</v>
      </c>
      <c r="AC354" t="s">
        <v>73</v>
      </c>
      <c r="AD354" t="s">
        <v>72</v>
      </c>
      <c r="AE354" t="s">
        <v>72</v>
      </c>
      <c r="AF354" t="s">
        <v>72</v>
      </c>
      <c r="AG354">
        <v>0</v>
      </c>
      <c r="AH354">
        <v>0</v>
      </c>
      <c r="AK354" t="s">
        <v>73</v>
      </c>
      <c r="AL354" t="s">
        <v>72</v>
      </c>
      <c r="AM354" t="s">
        <v>72</v>
      </c>
      <c r="AN354" t="s">
        <v>72</v>
      </c>
      <c r="AO354">
        <v>0</v>
      </c>
      <c r="AP354">
        <v>0</v>
      </c>
      <c r="AS354" t="s">
        <v>73</v>
      </c>
      <c r="AT354" t="s">
        <v>72</v>
      </c>
      <c r="AU354" t="s">
        <v>72</v>
      </c>
      <c r="AV354" t="s">
        <v>72</v>
      </c>
      <c r="AY354">
        <v>0</v>
      </c>
    </row>
    <row r="355" spans="1:51" x14ac:dyDescent="0.2">
      <c r="A355" t="s">
        <v>1321</v>
      </c>
      <c r="B355" t="s">
        <v>225</v>
      </c>
      <c r="C355" t="s">
        <v>226</v>
      </c>
      <c r="D355" t="s">
        <v>426</v>
      </c>
      <c r="E355" t="s">
        <v>427</v>
      </c>
      <c r="F355" t="s">
        <v>428</v>
      </c>
      <c r="G355" t="s">
        <v>1322</v>
      </c>
      <c r="H355" t="s">
        <v>1323</v>
      </c>
      <c r="I355" t="s">
        <v>1324</v>
      </c>
      <c r="J355" t="s">
        <v>1325</v>
      </c>
      <c r="K355" t="s">
        <v>72</v>
      </c>
      <c r="O355" t="s">
        <v>1325</v>
      </c>
      <c r="Q355">
        <v>0</v>
      </c>
      <c r="R355">
        <v>0</v>
      </c>
      <c r="U355" t="s">
        <v>73</v>
      </c>
      <c r="V355" t="s">
        <v>72</v>
      </c>
      <c r="W355" t="s">
        <v>72</v>
      </c>
      <c r="X355" t="s">
        <v>72</v>
      </c>
      <c r="Y355">
        <v>0</v>
      </c>
      <c r="Z355">
        <v>0</v>
      </c>
      <c r="AC355" t="s">
        <v>73</v>
      </c>
      <c r="AD355" t="s">
        <v>72</v>
      </c>
      <c r="AE355" t="s">
        <v>72</v>
      </c>
      <c r="AF355" t="s">
        <v>72</v>
      </c>
      <c r="AG355">
        <v>0</v>
      </c>
      <c r="AH355">
        <v>0</v>
      </c>
      <c r="AK355" t="s">
        <v>73</v>
      </c>
      <c r="AL355" t="s">
        <v>72</v>
      </c>
      <c r="AM355" t="s">
        <v>72</v>
      </c>
      <c r="AN355" t="s">
        <v>72</v>
      </c>
      <c r="AO355">
        <v>0</v>
      </c>
      <c r="AP355">
        <v>0</v>
      </c>
      <c r="AS355" t="s">
        <v>73</v>
      </c>
      <c r="AT355" t="s">
        <v>72</v>
      </c>
      <c r="AU355" t="s">
        <v>72</v>
      </c>
      <c r="AV355" t="s">
        <v>72</v>
      </c>
      <c r="AY355">
        <v>0</v>
      </c>
    </row>
    <row r="356" spans="1:51" x14ac:dyDescent="0.2">
      <c r="A356" t="s">
        <v>1326</v>
      </c>
      <c r="B356" t="s">
        <v>225</v>
      </c>
      <c r="C356" t="s">
        <v>226</v>
      </c>
      <c r="D356" t="s">
        <v>426</v>
      </c>
      <c r="E356" t="s">
        <v>427</v>
      </c>
      <c r="F356" t="s">
        <v>428</v>
      </c>
      <c r="G356" t="s">
        <v>1322</v>
      </c>
      <c r="H356" t="s">
        <v>1323</v>
      </c>
      <c r="I356" t="s">
        <v>1327</v>
      </c>
      <c r="J356" t="s">
        <v>1325</v>
      </c>
      <c r="K356" t="s">
        <v>72</v>
      </c>
      <c r="O356" t="s">
        <v>1325</v>
      </c>
      <c r="Q356">
        <v>0</v>
      </c>
      <c r="R356">
        <v>0</v>
      </c>
      <c r="U356" t="s">
        <v>73</v>
      </c>
      <c r="V356" t="s">
        <v>72</v>
      </c>
      <c r="W356" t="s">
        <v>72</v>
      </c>
      <c r="X356" t="s">
        <v>72</v>
      </c>
      <c r="Y356">
        <v>0</v>
      </c>
      <c r="Z356">
        <v>0</v>
      </c>
      <c r="AC356" t="s">
        <v>73</v>
      </c>
      <c r="AD356" t="s">
        <v>72</v>
      </c>
      <c r="AE356" t="s">
        <v>72</v>
      </c>
      <c r="AF356" t="s">
        <v>72</v>
      </c>
      <c r="AG356">
        <v>0</v>
      </c>
      <c r="AH356">
        <v>0</v>
      </c>
      <c r="AK356" t="s">
        <v>73</v>
      </c>
      <c r="AL356" t="s">
        <v>72</v>
      </c>
      <c r="AM356" t="s">
        <v>72</v>
      </c>
      <c r="AN356" t="s">
        <v>72</v>
      </c>
      <c r="AO356">
        <v>0</v>
      </c>
      <c r="AP356">
        <v>0</v>
      </c>
      <c r="AS356" t="s">
        <v>73</v>
      </c>
      <c r="AT356" t="s">
        <v>72</v>
      </c>
      <c r="AU356" t="s">
        <v>72</v>
      </c>
      <c r="AV356" t="s">
        <v>72</v>
      </c>
      <c r="AY356">
        <v>0</v>
      </c>
    </row>
    <row r="357" spans="1:51" x14ac:dyDescent="0.2">
      <c r="A357" t="s">
        <v>1328</v>
      </c>
      <c r="B357" t="s">
        <v>225</v>
      </c>
      <c r="C357" t="s">
        <v>226</v>
      </c>
      <c r="D357" t="s">
        <v>426</v>
      </c>
      <c r="E357" t="s">
        <v>427</v>
      </c>
      <c r="F357" t="s">
        <v>428</v>
      </c>
      <c r="G357" t="s">
        <v>1329</v>
      </c>
      <c r="H357" t="s">
        <v>1330</v>
      </c>
      <c r="I357" t="s">
        <v>1331</v>
      </c>
      <c r="J357" t="s">
        <v>450</v>
      </c>
      <c r="K357" t="s">
        <v>72</v>
      </c>
      <c r="O357" t="s">
        <v>450</v>
      </c>
      <c r="Q357">
        <v>0</v>
      </c>
      <c r="R357">
        <v>0</v>
      </c>
      <c r="U357" t="s">
        <v>73</v>
      </c>
      <c r="V357" t="s">
        <v>72</v>
      </c>
      <c r="W357" t="s">
        <v>72</v>
      </c>
      <c r="X357" t="s">
        <v>72</v>
      </c>
      <c r="Y357">
        <v>0</v>
      </c>
      <c r="Z357">
        <v>0</v>
      </c>
      <c r="AC357" t="s">
        <v>73</v>
      </c>
      <c r="AD357" t="s">
        <v>72</v>
      </c>
      <c r="AE357" t="s">
        <v>72</v>
      </c>
      <c r="AF357" t="s">
        <v>72</v>
      </c>
      <c r="AG357">
        <v>0</v>
      </c>
      <c r="AH357">
        <v>0</v>
      </c>
      <c r="AK357" t="s">
        <v>73</v>
      </c>
      <c r="AL357" t="s">
        <v>72</v>
      </c>
      <c r="AM357" t="s">
        <v>72</v>
      </c>
      <c r="AN357" t="s">
        <v>72</v>
      </c>
      <c r="AO357">
        <v>0</v>
      </c>
      <c r="AP357">
        <v>0</v>
      </c>
      <c r="AS357" t="s">
        <v>73</v>
      </c>
      <c r="AT357" t="s">
        <v>72</v>
      </c>
      <c r="AU357" t="s">
        <v>72</v>
      </c>
      <c r="AV357" t="s">
        <v>72</v>
      </c>
      <c r="AY357">
        <v>0</v>
      </c>
    </row>
    <row r="358" spans="1:51" x14ac:dyDescent="0.2">
      <c r="A358" t="s">
        <v>1332</v>
      </c>
      <c r="B358" t="s">
        <v>225</v>
      </c>
      <c r="C358" t="s">
        <v>226</v>
      </c>
      <c r="D358" t="s">
        <v>426</v>
      </c>
      <c r="E358" t="s">
        <v>427</v>
      </c>
      <c r="F358" t="s">
        <v>428</v>
      </c>
      <c r="G358" t="s">
        <v>1329</v>
      </c>
      <c r="H358" t="s">
        <v>1330</v>
      </c>
      <c r="I358" t="s">
        <v>1333</v>
      </c>
      <c r="J358" t="s">
        <v>450</v>
      </c>
      <c r="K358" t="s">
        <v>72</v>
      </c>
      <c r="O358" t="s">
        <v>450</v>
      </c>
      <c r="Q358">
        <v>0</v>
      </c>
      <c r="R358">
        <v>0</v>
      </c>
      <c r="U358" t="s">
        <v>73</v>
      </c>
      <c r="V358" t="s">
        <v>72</v>
      </c>
      <c r="W358" t="s">
        <v>72</v>
      </c>
      <c r="X358" t="s">
        <v>72</v>
      </c>
      <c r="Y358">
        <v>0</v>
      </c>
      <c r="Z358">
        <v>0</v>
      </c>
      <c r="AC358" t="s">
        <v>73</v>
      </c>
      <c r="AD358" t="s">
        <v>72</v>
      </c>
      <c r="AE358" t="s">
        <v>72</v>
      </c>
      <c r="AF358" t="s">
        <v>72</v>
      </c>
      <c r="AG358">
        <v>0</v>
      </c>
      <c r="AH358">
        <v>0</v>
      </c>
      <c r="AK358" t="s">
        <v>73</v>
      </c>
      <c r="AL358" t="s">
        <v>72</v>
      </c>
      <c r="AM358" t="s">
        <v>72</v>
      </c>
      <c r="AN358" t="s">
        <v>72</v>
      </c>
      <c r="AO358">
        <v>0</v>
      </c>
      <c r="AP358">
        <v>0</v>
      </c>
      <c r="AS358" t="s">
        <v>73</v>
      </c>
      <c r="AT358" t="s">
        <v>72</v>
      </c>
      <c r="AU358" t="s">
        <v>72</v>
      </c>
      <c r="AV358" t="s">
        <v>72</v>
      </c>
      <c r="AY358">
        <v>0</v>
      </c>
    </row>
    <row r="359" spans="1:51" x14ac:dyDescent="0.2">
      <c r="A359" t="s">
        <v>1334</v>
      </c>
      <c r="B359" t="s">
        <v>225</v>
      </c>
      <c r="C359" t="s">
        <v>226</v>
      </c>
      <c r="D359" t="s">
        <v>227</v>
      </c>
      <c r="E359" t="s">
        <v>228</v>
      </c>
      <c r="F359" t="s">
        <v>229</v>
      </c>
      <c r="G359" t="s">
        <v>351</v>
      </c>
      <c r="H359" t="s">
        <v>352</v>
      </c>
      <c r="I359" t="s">
        <v>1335</v>
      </c>
      <c r="J359" t="s">
        <v>234</v>
      </c>
      <c r="K359" t="s">
        <v>72</v>
      </c>
      <c r="O359" t="s">
        <v>234</v>
      </c>
      <c r="Q359">
        <v>0</v>
      </c>
      <c r="R359">
        <v>0</v>
      </c>
      <c r="U359" t="s">
        <v>73</v>
      </c>
      <c r="V359" t="s">
        <v>72</v>
      </c>
      <c r="W359" t="s">
        <v>72</v>
      </c>
      <c r="X359" t="s">
        <v>72</v>
      </c>
      <c r="Y359">
        <v>0</v>
      </c>
      <c r="Z359">
        <v>0</v>
      </c>
      <c r="AC359" t="s">
        <v>73</v>
      </c>
      <c r="AD359" t="s">
        <v>72</v>
      </c>
      <c r="AE359" t="s">
        <v>72</v>
      </c>
      <c r="AF359" t="s">
        <v>72</v>
      </c>
      <c r="AG359">
        <v>0</v>
      </c>
      <c r="AH359">
        <v>0</v>
      </c>
      <c r="AK359" t="s">
        <v>73</v>
      </c>
      <c r="AL359" t="s">
        <v>72</v>
      </c>
      <c r="AM359" t="s">
        <v>72</v>
      </c>
      <c r="AN359" t="s">
        <v>72</v>
      </c>
      <c r="AO359">
        <v>0</v>
      </c>
      <c r="AP359">
        <v>0</v>
      </c>
      <c r="AS359" t="s">
        <v>73</v>
      </c>
      <c r="AT359" t="s">
        <v>72</v>
      </c>
      <c r="AU359" t="s">
        <v>72</v>
      </c>
      <c r="AV359" t="s">
        <v>72</v>
      </c>
      <c r="AY359">
        <v>0</v>
      </c>
    </row>
    <row r="360" spans="1:51" x14ac:dyDescent="0.2">
      <c r="A360" t="s">
        <v>1336</v>
      </c>
      <c r="B360" t="s">
        <v>225</v>
      </c>
      <c r="C360" t="s">
        <v>226</v>
      </c>
      <c r="D360" t="s">
        <v>227</v>
      </c>
      <c r="E360" t="s">
        <v>228</v>
      </c>
      <c r="F360" t="s">
        <v>229</v>
      </c>
      <c r="G360" t="s">
        <v>351</v>
      </c>
      <c r="H360" t="s">
        <v>352</v>
      </c>
      <c r="I360" t="s">
        <v>1337</v>
      </c>
      <c r="J360" t="s">
        <v>234</v>
      </c>
      <c r="K360" t="s">
        <v>72</v>
      </c>
      <c r="O360" t="s">
        <v>234</v>
      </c>
      <c r="Q360">
        <v>0</v>
      </c>
      <c r="R360">
        <v>0</v>
      </c>
      <c r="U360" t="s">
        <v>73</v>
      </c>
      <c r="V360" t="s">
        <v>72</v>
      </c>
      <c r="W360" t="s">
        <v>72</v>
      </c>
      <c r="X360" t="s">
        <v>72</v>
      </c>
      <c r="Y360">
        <v>0</v>
      </c>
      <c r="Z360">
        <v>0</v>
      </c>
      <c r="AC360" t="s">
        <v>73</v>
      </c>
      <c r="AD360" t="s">
        <v>72</v>
      </c>
      <c r="AE360" t="s">
        <v>72</v>
      </c>
      <c r="AF360" t="s">
        <v>72</v>
      </c>
      <c r="AG360">
        <v>0</v>
      </c>
      <c r="AH360">
        <v>0</v>
      </c>
      <c r="AK360" t="s">
        <v>73</v>
      </c>
      <c r="AL360" t="s">
        <v>72</v>
      </c>
      <c r="AM360" t="s">
        <v>72</v>
      </c>
      <c r="AN360" t="s">
        <v>72</v>
      </c>
      <c r="AO360">
        <v>0</v>
      </c>
      <c r="AP360">
        <v>0</v>
      </c>
      <c r="AS360" t="s">
        <v>73</v>
      </c>
      <c r="AT360" t="s">
        <v>72</v>
      </c>
      <c r="AU360" t="s">
        <v>72</v>
      </c>
      <c r="AV360" t="s">
        <v>72</v>
      </c>
      <c r="AY360">
        <v>0</v>
      </c>
    </row>
    <row r="361" spans="1:51" x14ac:dyDescent="0.2">
      <c r="A361" t="s">
        <v>1338</v>
      </c>
      <c r="B361" t="s">
        <v>225</v>
      </c>
      <c r="C361" t="s">
        <v>226</v>
      </c>
      <c r="D361" t="s">
        <v>227</v>
      </c>
      <c r="E361" t="s">
        <v>228</v>
      </c>
      <c r="F361" t="s">
        <v>229</v>
      </c>
      <c r="G361" t="s">
        <v>351</v>
      </c>
      <c r="H361" t="s">
        <v>352</v>
      </c>
      <c r="I361" t="s">
        <v>1339</v>
      </c>
      <c r="J361" t="s">
        <v>234</v>
      </c>
      <c r="K361" t="s">
        <v>72</v>
      </c>
      <c r="O361" t="s">
        <v>234</v>
      </c>
      <c r="Q361">
        <v>0</v>
      </c>
      <c r="R361">
        <v>0</v>
      </c>
      <c r="U361" t="s">
        <v>73</v>
      </c>
      <c r="V361" t="s">
        <v>72</v>
      </c>
      <c r="W361" t="s">
        <v>72</v>
      </c>
      <c r="X361" t="s">
        <v>72</v>
      </c>
      <c r="Y361">
        <v>0</v>
      </c>
      <c r="Z361">
        <v>0</v>
      </c>
      <c r="AC361" t="s">
        <v>73</v>
      </c>
      <c r="AD361" t="s">
        <v>72</v>
      </c>
      <c r="AE361" t="s">
        <v>72</v>
      </c>
      <c r="AF361" t="s">
        <v>72</v>
      </c>
      <c r="AG361">
        <v>0</v>
      </c>
      <c r="AH361">
        <v>0</v>
      </c>
      <c r="AK361" t="s">
        <v>73</v>
      </c>
      <c r="AL361" t="s">
        <v>72</v>
      </c>
      <c r="AM361" t="s">
        <v>72</v>
      </c>
      <c r="AN361" t="s">
        <v>72</v>
      </c>
      <c r="AO361">
        <v>0</v>
      </c>
      <c r="AP361">
        <v>0</v>
      </c>
      <c r="AS361" t="s">
        <v>73</v>
      </c>
      <c r="AT361" t="s">
        <v>72</v>
      </c>
      <c r="AU361" t="s">
        <v>72</v>
      </c>
      <c r="AV361" t="s">
        <v>72</v>
      </c>
      <c r="AY361">
        <v>0</v>
      </c>
    </row>
    <row r="362" spans="1:51" x14ac:dyDescent="0.2">
      <c r="A362" t="s">
        <v>1340</v>
      </c>
      <c r="B362" t="s">
        <v>225</v>
      </c>
      <c r="C362" t="s">
        <v>226</v>
      </c>
      <c r="D362" t="s">
        <v>227</v>
      </c>
      <c r="E362" t="s">
        <v>228</v>
      </c>
      <c r="F362" t="s">
        <v>229</v>
      </c>
      <c r="G362" t="s">
        <v>230</v>
      </c>
      <c r="H362" t="s">
        <v>231</v>
      </c>
      <c r="I362" t="s">
        <v>1341</v>
      </c>
      <c r="J362" t="s">
        <v>234</v>
      </c>
      <c r="K362" t="s">
        <v>72</v>
      </c>
      <c r="O362" t="s">
        <v>234</v>
      </c>
      <c r="Q362">
        <v>0</v>
      </c>
      <c r="R362">
        <v>0</v>
      </c>
      <c r="U362" t="s">
        <v>73</v>
      </c>
      <c r="V362" t="s">
        <v>72</v>
      </c>
      <c r="W362" t="s">
        <v>72</v>
      </c>
      <c r="X362" t="s">
        <v>72</v>
      </c>
      <c r="Y362">
        <v>0</v>
      </c>
      <c r="Z362">
        <v>0</v>
      </c>
      <c r="AC362" t="s">
        <v>73</v>
      </c>
      <c r="AD362" t="s">
        <v>72</v>
      </c>
      <c r="AE362" t="s">
        <v>72</v>
      </c>
      <c r="AF362" t="s">
        <v>72</v>
      </c>
      <c r="AG362">
        <v>0</v>
      </c>
      <c r="AH362">
        <v>0</v>
      </c>
      <c r="AK362" t="s">
        <v>73</v>
      </c>
      <c r="AL362" t="s">
        <v>72</v>
      </c>
      <c r="AM362" t="s">
        <v>72</v>
      </c>
      <c r="AN362" t="s">
        <v>72</v>
      </c>
      <c r="AO362">
        <v>0</v>
      </c>
      <c r="AP362">
        <v>0</v>
      </c>
      <c r="AS362" t="s">
        <v>73</v>
      </c>
      <c r="AT362" t="s">
        <v>72</v>
      </c>
      <c r="AU362" t="s">
        <v>72</v>
      </c>
      <c r="AV362" t="s">
        <v>72</v>
      </c>
      <c r="AY362">
        <v>0</v>
      </c>
    </row>
    <row r="363" spans="1:51" x14ac:dyDescent="0.2">
      <c r="A363" t="s">
        <v>1342</v>
      </c>
      <c r="B363" t="s">
        <v>225</v>
      </c>
      <c r="C363" t="s">
        <v>226</v>
      </c>
      <c r="D363" t="s">
        <v>227</v>
      </c>
      <c r="E363" t="s">
        <v>228</v>
      </c>
      <c r="F363" t="s">
        <v>229</v>
      </c>
      <c r="G363" t="s">
        <v>230</v>
      </c>
      <c r="H363" t="s">
        <v>231</v>
      </c>
      <c r="I363" t="s">
        <v>1343</v>
      </c>
      <c r="J363" t="s">
        <v>234</v>
      </c>
      <c r="K363" t="s">
        <v>72</v>
      </c>
      <c r="O363" t="s">
        <v>234</v>
      </c>
      <c r="Q363">
        <v>0</v>
      </c>
      <c r="R363">
        <v>0</v>
      </c>
      <c r="U363" t="s">
        <v>73</v>
      </c>
      <c r="V363" t="s">
        <v>72</v>
      </c>
      <c r="W363" t="s">
        <v>72</v>
      </c>
      <c r="X363" t="s">
        <v>72</v>
      </c>
      <c r="Y363">
        <v>0</v>
      </c>
      <c r="Z363">
        <v>0</v>
      </c>
      <c r="AC363" t="s">
        <v>73</v>
      </c>
      <c r="AD363" t="s">
        <v>72</v>
      </c>
      <c r="AE363" t="s">
        <v>72</v>
      </c>
      <c r="AF363" t="s">
        <v>72</v>
      </c>
      <c r="AG363">
        <v>0</v>
      </c>
      <c r="AH363">
        <v>0</v>
      </c>
      <c r="AK363" t="s">
        <v>73</v>
      </c>
      <c r="AL363" t="s">
        <v>72</v>
      </c>
      <c r="AM363" t="s">
        <v>72</v>
      </c>
      <c r="AN363" t="s">
        <v>72</v>
      </c>
      <c r="AO363">
        <v>0</v>
      </c>
      <c r="AP363">
        <v>0</v>
      </c>
      <c r="AS363" t="s">
        <v>73</v>
      </c>
      <c r="AT363" t="s">
        <v>72</v>
      </c>
      <c r="AU363" t="s">
        <v>72</v>
      </c>
      <c r="AV363" t="s">
        <v>72</v>
      </c>
      <c r="AY363">
        <v>0</v>
      </c>
    </row>
  </sheetData>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25D089-54B8-0442-8DED-AD343C50A8AF}">
  <sheetPr codeName="Sheet2">
    <tabColor theme="4" tint="0.79998168889431442"/>
  </sheetPr>
  <dimension ref="A1:I20"/>
  <sheetViews>
    <sheetView workbookViewId="0">
      <selection activeCell="B16" sqref="B16"/>
    </sheetView>
  </sheetViews>
  <sheetFormatPr baseColWidth="10" defaultRowHeight="16" x14ac:dyDescent="0.2"/>
  <cols>
    <col min="1" max="1" width="13.33203125" bestFit="1" customWidth="1"/>
    <col min="2" max="9" width="10.5" customWidth="1"/>
  </cols>
  <sheetData>
    <row r="1" spans="1:9" ht="17" x14ac:dyDescent="0.2">
      <c r="A1" s="6" t="s">
        <v>10</v>
      </c>
      <c r="B1" s="7" t="s">
        <v>63</v>
      </c>
    </row>
    <row r="3" spans="1:9" s="7" customFormat="1" ht="51" x14ac:dyDescent="0.2">
      <c r="A3" s="6" t="s">
        <v>1344</v>
      </c>
      <c r="B3" s="7" t="s">
        <v>1348</v>
      </c>
      <c r="C3" s="7" t="s">
        <v>1346</v>
      </c>
      <c r="D3"/>
      <c r="E3"/>
      <c r="F3"/>
      <c r="G3"/>
      <c r="H3"/>
      <c r="I3"/>
    </row>
    <row r="4" spans="1:9" s="7" customFormat="1" ht="17" x14ac:dyDescent="0.2">
      <c r="A4" s="8" t="s">
        <v>54</v>
      </c>
      <c r="B4" s="9">
        <v>6.083333333333333</v>
      </c>
      <c r="C4" s="9">
        <v>5</v>
      </c>
      <c r="D4"/>
      <c r="E4"/>
      <c r="F4"/>
      <c r="G4"/>
      <c r="H4"/>
      <c r="I4"/>
    </row>
    <row r="5" spans="1:9" s="7" customFormat="1" ht="17" x14ac:dyDescent="0.2">
      <c r="A5" s="8" t="s">
        <v>183</v>
      </c>
      <c r="B5" s="9">
        <v>3.8333333333333335</v>
      </c>
      <c r="C5" s="9">
        <v>5</v>
      </c>
      <c r="D5"/>
      <c r="E5"/>
      <c r="F5"/>
      <c r="G5"/>
      <c r="H5"/>
      <c r="I5"/>
    </row>
    <row r="6" spans="1:9" s="7" customFormat="1" ht="17" x14ac:dyDescent="0.2">
      <c r="A6" s="8" t="s">
        <v>199</v>
      </c>
      <c r="B6" s="9">
        <v>4.5</v>
      </c>
      <c r="C6" s="9">
        <v>5</v>
      </c>
      <c r="D6"/>
      <c r="E6"/>
      <c r="F6"/>
      <c r="G6"/>
      <c r="H6"/>
      <c r="I6"/>
    </row>
    <row r="7" spans="1:9" s="7" customFormat="1" ht="17" x14ac:dyDescent="0.2">
      <c r="A7" s="8" t="s">
        <v>239</v>
      </c>
      <c r="B7" s="9">
        <v>4.125</v>
      </c>
      <c r="C7" s="9">
        <v>5</v>
      </c>
      <c r="D7"/>
      <c r="E7"/>
      <c r="F7"/>
      <c r="G7"/>
      <c r="H7"/>
      <c r="I7"/>
    </row>
    <row r="8" spans="1:9" s="7" customFormat="1" ht="17" x14ac:dyDescent="0.2">
      <c r="A8" s="8" t="s">
        <v>225</v>
      </c>
      <c r="B8" s="9">
        <v>3.6666666666666665</v>
      </c>
      <c r="C8" s="9">
        <v>5</v>
      </c>
      <c r="D8"/>
      <c r="E8"/>
      <c r="F8"/>
      <c r="G8"/>
      <c r="H8"/>
      <c r="I8"/>
    </row>
    <row r="9" spans="1:9" s="7" customFormat="1" ht="17" x14ac:dyDescent="0.2">
      <c r="A9" s="8" t="s">
        <v>336</v>
      </c>
      <c r="B9" s="9">
        <v>3</v>
      </c>
      <c r="C9" s="9">
        <v>5</v>
      </c>
      <c r="D9"/>
      <c r="E9"/>
      <c r="F9"/>
      <c r="G9"/>
      <c r="H9"/>
      <c r="I9"/>
    </row>
    <row r="10" spans="1:9" s="7" customFormat="1" ht="17" x14ac:dyDescent="0.2">
      <c r="A10" s="8" t="s">
        <v>1345</v>
      </c>
      <c r="B10" s="9">
        <v>4.7105263157894735</v>
      </c>
      <c r="C10" s="9">
        <v>5</v>
      </c>
      <c r="D10"/>
      <c r="E10"/>
      <c r="F10"/>
      <c r="G10"/>
      <c r="H10"/>
      <c r="I10"/>
    </row>
    <row r="12" spans="1:9" ht="19" x14ac:dyDescent="0.25">
      <c r="A12" s="10" t="s">
        <v>1351</v>
      </c>
    </row>
    <row r="13" spans="1:9" x14ac:dyDescent="0.2">
      <c r="A13" s="11" t="s">
        <v>1</v>
      </c>
      <c r="B13" s="12" t="s">
        <v>1349</v>
      </c>
      <c r="C13" s="13" t="s">
        <v>1352</v>
      </c>
      <c r="D13" s="12" t="s">
        <v>1350</v>
      </c>
    </row>
    <row r="14" spans="1:9" x14ac:dyDescent="0.2">
      <c r="A14" s="14" t="str">
        <f>A4</f>
        <v>GOVERN (GV)</v>
      </c>
      <c r="B14" s="15">
        <f t="shared" ref="B14:C14" si="0">B4</f>
        <v>6.083333333333333</v>
      </c>
      <c r="C14" s="15">
        <f t="shared" si="0"/>
        <v>5</v>
      </c>
      <c r="D14" s="15">
        <f>B14-C14</f>
        <v>1.083333333333333</v>
      </c>
    </row>
    <row r="15" spans="1:9" x14ac:dyDescent="0.2">
      <c r="A15" s="14" t="str">
        <f t="shared" ref="A15:C15" si="1">A5</f>
        <v>IDENTIFY (ID)</v>
      </c>
      <c r="B15" s="15">
        <f t="shared" si="1"/>
        <v>3.8333333333333335</v>
      </c>
      <c r="C15" s="15">
        <f t="shared" si="1"/>
        <v>5</v>
      </c>
      <c r="D15" s="15">
        <f t="shared" ref="D15:D20" si="2">B15-C15</f>
        <v>-1.1666666666666665</v>
      </c>
    </row>
    <row r="16" spans="1:9" x14ac:dyDescent="0.2">
      <c r="A16" s="14" t="str">
        <f t="shared" ref="A16:C16" si="3">A6</f>
        <v>PROTECT (PR)</v>
      </c>
      <c r="B16" s="15">
        <f t="shared" si="3"/>
        <v>4.5</v>
      </c>
      <c r="C16" s="15">
        <f t="shared" si="3"/>
        <v>5</v>
      </c>
      <c r="D16" s="15">
        <f t="shared" si="2"/>
        <v>-0.5</v>
      </c>
    </row>
    <row r="17" spans="1:4" x14ac:dyDescent="0.2">
      <c r="A17" s="14" t="str">
        <f t="shared" ref="A17:C17" si="4">A7</f>
        <v>DETECT (DE)</v>
      </c>
      <c r="B17" s="15">
        <f t="shared" si="4"/>
        <v>4.125</v>
      </c>
      <c r="C17" s="15">
        <f t="shared" si="4"/>
        <v>5</v>
      </c>
      <c r="D17" s="15">
        <f t="shared" si="2"/>
        <v>-0.875</v>
      </c>
    </row>
    <row r="18" spans="1:4" x14ac:dyDescent="0.2">
      <c r="A18" s="14" t="str">
        <f t="shared" ref="A18:C18" si="5">A8</f>
        <v>RESPOND (RS)</v>
      </c>
      <c r="B18" s="15">
        <f t="shared" si="5"/>
        <v>3.6666666666666665</v>
      </c>
      <c r="C18" s="15">
        <f t="shared" si="5"/>
        <v>5</v>
      </c>
      <c r="D18" s="15">
        <f t="shared" si="2"/>
        <v>-1.3333333333333335</v>
      </c>
    </row>
    <row r="19" spans="1:4" x14ac:dyDescent="0.2">
      <c r="A19" s="14" t="str">
        <f t="shared" ref="A19:C19" si="6">A9</f>
        <v>RECOVER (RC)</v>
      </c>
      <c r="B19" s="15">
        <f t="shared" si="6"/>
        <v>3</v>
      </c>
      <c r="C19" s="15">
        <f t="shared" si="6"/>
        <v>5</v>
      </c>
      <c r="D19" s="15">
        <f t="shared" si="2"/>
        <v>-2</v>
      </c>
    </row>
    <row r="20" spans="1:4" x14ac:dyDescent="0.2">
      <c r="A20" s="22" t="str">
        <f t="shared" ref="A20:C20" si="7">A10</f>
        <v>Grand Total</v>
      </c>
      <c r="B20" s="23">
        <f t="shared" si="7"/>
        <v>4.7105263157894735</v>
      </c>
      <c r="C20" s="23">
        <f t="shared" si="7"/>
        <v>5</v>
      </c>
      <c r="D20" s="16">
        <f t="shared" si="2"/>
        <v>-0.28947368421052655</v>
      </c>
    </row>
  </sheetData>
  <conditionalFormatting sqref="D14:D20">
    <cfRule type="cellIs" dxfId="2" priority="1" operator="greaterThan">
      <formula>0</formula>
    </cfRule>
    <cfRule type="cellIs" dxfId="1" priority="2" operator="lessThan">
      <formula>0</formula>
    </cfRule>
  </conditionalFormatting>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02AF15-4F2D-2149-A104-B3E6CA4B2F7D}">
  <sheetPr codeName="Sheet17">
    <tabColor theme="9" tint="0.59999389629810485"/>
  </sheetPr>
  <dimension ref="A1:BF133"/>
  <sheetViews>
    <sheetView showGridLines="0" zoomScale="131" zoomScaleNormal="138" workbookViewId="0">
      <selection activeCell="A4" sqref="A4"/>
    </sheetView>
  </sheetViews>
  <sheetFormatPr baseColWidth="10" defaultRowHeight="15" x14ac:dyDescent="0.2"/>
  <cols>
    <col min="1" max="1" width="12.1640625" style="17" bestFit="1" customWidth="1"/>
    <col min="2" max="2" width="12.33203125" style="17" customWidth="1"/>
    <col min="3" max="3" width="13.6640625" style="17" customWidth="1"/>
    <col min="4" max="4" width="13" style="17" customWidth="1"/>
    <col min="5" max="58" width="4.6640625" style="18" bestFit="1" customWidth="1"/>
    <col min="59" max="360" width="4.6640625" style="17" bestFit="1" customWidth="1"/>
    <col min="361" max="364" width="5.6640625" style="17" bestFit="1" customWidth="1"/>
    <col min="365" max="365" width="11" style="17" bestFit="1" customWidth="1"/>
    <col min="366" max="16384" width="10.83203125" style="17"/>
  </cols>
  <sheetData>
    <row r="1" spans="1:58" ht="16" x14ac:dyDescent="0.2">
      <c r="A1" s="4" t="s">
        <v>10</v>
      </c>
      <c r="B1" t="s">
        <v>63</v>
      </c>
    </row>
    <row r="3" spans="1:58" s="20" customFormat="1" ht="51" x14ac:dyDescent="0.2">
      <c r="A3" s="6" t="s">
        <v>1344</v>
      </c>
      <c r="B3" s="7" t="s">
        <v>1347</v>
      </c>
      <c r="C3" s="7" t="s">
        <v>1348</v>
      </c>
      <c r="D3" s="7"/>
      <c r="E3" s="19"/>
      <c r="F3" s="19"/>
      <c r="G3" s="19"/>
      <c r="H3" s="19"/>
      <c r="I3" s="19"/>
      <c r="J3" s="19"/>
      <c r="K3" s="19"/>
      <c r="L3" s="19"/>
      <c r="M3" s="19"/>
      <c r="N3" s="19"/>
      <c r="O3" s="19"/>
      <c r="P3" s="19"/>
      <c r="Q3" s="19"/>
      <c r="R3" s="19"/>
      <c r="S3" s="19"/>
      <c r="T3" s="19"/>
      <c r="U3" s="19"/>
      <c r="V3" s="19"/>
      <c r="W3" s="19"/>
      <c r="X3" s="19"/>
      <c r="Y3" s="19"/>
      <c r="Z3" s="19"/>
      <c r="AA3" s="19"/>
      <c r="AB3" s="19"/>
      <c r="AC3" s="19"/>
      <c r="AD3" s="19"/>
      <c r="AE3" s="19"/>
      <c r="AF3" s="19"/>
      <c r="AG3" s="19"/>
      <c r="AH3" s="19"/>
      <c r="AI3" s="19"/>
      <c r="AJ3" s="19"/>
      <c r="AK3" s="19"/>
      <c r="AL3" s="19"/>
      <c r="AM3" s="19"/>
      <c r="AN3" s="19"/>
      <c r="AO3" s="19"/>
      <c r="AP3" s="19"/>
      <c r="AQ3" s="19"/>
      <c r="AR3" s="19"/>
      <c r="AS3" s="19"/>
      <c r="AT3" s="19"/>
      <c r="AU3" s="19"/>
      <c r="AV3" s="19"/>
      <c r="AW3" s="19"/>
      <c r="AX3" s="19"/>
      <c r="AY3" s="19"/>
      <c r="AZ3" s="19"/>
      <c r="BA3" s="19"/>
      <c r="BB3" s="19"/>
      <c r="BC3" s="19"/>
      <c r="BD3" s="19"/>
      <c r="BE3" s="19"/>
      <c r="BF3" s="19"/>
    </row>
    <row r="4" spans="1:58" ht="16" x14ac:dyDescent="0.2">
      <c r="A4" s="5" t="s">
        <v>76</v>
      </c>
      <c r="B4" s="9">
        <v>5</v>
      </c>
      <c r="C4" s="9">
        <v>6.25</v>
      </c>
      <c r="D4"/>
    </row>
    <row r="5" spans="1:58" ht="16" x14ac:dyDescent="0.2">
      <c r="A5" s="5" t="s">
        <v>108</v>
      </c>
      <c r="B5" s="9">
        <v>5</v>
      </c>
      <c r="C5" s="9">
        <v>6.5</v>
      </c>
      <c r="D5"/>
    </row>
    <row r="6" spans="1:58" ht="16" x14ac:dyDescent="0.2">
      <c r="A6" s="5" t="s">
        <v>120</v>
      </c>
      <c r="B6" s="9">
        <v>5</v>
      </c>
      <c r="C6" s="9">
        <v>6.5</v>
      </c>
      <c r="D6"/>
    </row>
    <row r="7" spans="1:58" ht="16" x14ac:dyDescent="0.2">
      <c r="A7" s="5" t="s">
        <v>88</v>
      </c>
      <c r="B7" s="9">
        <v>5</v>
      </c>
      <c r="C7" s="9">
        <v>6</v>
      </c>
      <c r="D7"/>
    </row>
    <row r="8" spans="1:58" ht="16" x14ac:dyDescent="0.2">
      <c r="A8" s="5" t="s">
        <v>56</v>
      </c>
      <c r="B8" s="9">
        <v>5</v>
      </c>
      <c r="C8" s="9">
        <v>5.916666666666667</v>
      </c>
      <c r="D8"/>
    </row>
    <row r="9" spans="1:58" ht="16" x14ac:dyDescent="0.2">
      <c r="A9" s="5" t="s">
        <v>390</v>
      </c>
      <c r="B9" s="9">
        <v>5</v>
      </c>
      <c r="C9" s="9">
        <v>3</v>
      </c>
      <c r="D9"/>
    </row>
    <row r="10" spans="1:58" ht="16" x14ac:dyDescent="0.2">
      <c r="A10" s="5" t="s">
        <v>413</v>
      </c>
      <c r="B10" s="9">
        <v>5</v>
      </c>
      <c r="C10" s="9">
        <v>3</v>
      </c>
      <c r="D10"/>
    </row>
    <row r="11" spans="1:58" ht="16" x14ac:dyDescent="0.2">
      <c r="A11" s="5" t="s">
        <v>185</v>
      </c>
      <c r="B11" s="9">
        <v>5</v>
      </c>
      <c r="C11" s="9">
        <v>4.666666666666667</v>
      </c>
      <c r="D11"/>
    </row>
    <row r="12" spans="1:58" ht="16" x14ac:dyDescent="0.2">
      <c r="A12" s="5" t="s">
        <v>465</v>
      </c>
      <c r="B12" s="9">
        <v>5</v>
      </c>
      <c r="C12" s="9">
        <v>5</v>
      </c>
      <c r="D12"/>
    </row>
    <row r="13" spans="1:58" ht="16" x14ac:dyDescent="0.2">
      <c r="A13" s="5" t="s">
        <v>201</v>
      </c>
      <c r="B13" s="9">
        <v>5</v>
      </c>
      <c r="C13" s="9">
        <v>5</v>
      </c>
      <c r="D13"/>
    </row>
    <row r="14" spans="1:58" ht="16" x14ac:dyDescent="0.2">
      <c r="A14" s="5" t="s">
        <v>290</v>
      </c>
      <c r="B14" s="9">
        <v>5</v>
      </c>
      <c r="C14" s="9">
        <v>4.5</v>
      </c>
      <c r="D14"/>
    </row>
    <row r="15" spans="1:58" ht="16" x14ac:dyDescent="0.2">
      <c r="A15" s="5" t="s">
        <v>214</v>
      </c>
      <c r="B15" s="9">
        <v>5</v>
      </c>
      <c r="C15" s="9">
        <v>4.5</v>
      </c>
      <c r="D15"/>
    </row>
    <row r="16" spans="1:58" ht="16" x14ac:dyDescent="0.2">
      <c r="A16" s="5" t="s">
        <v>313</v>
      </c>
      <c r="B16" s="9">
        <v>5</v>
      </c>
      <c r="C16" s="9">
        <v>4</v>
      </c>
      <c r="D16"/>
    </row>
    <row r="17" spans="1:4" ht="16" x14ac:dyDescent="0.2">
      <c r="A17" s="5" t="s">
        <v>266</v>
      </c>
      <c r="B17" s="9">
        <v>5</v>
      </c>
      <c r="C17" s="9">
        <v>3.3333333333333335</v>
      </c>
      <c r="D17"/>
    </row>
    <row r="18" spans="1:4" ht="16" x14ac:dyDescent="0.2">
      <c r="A18" s="5" t="s">
        <v>241</v>
      </c>
      <c r="B18" s="9">
        <v>5</v>
      </c>
      <c r="C18" s="9">
        <v>4.5999999999999996</v>
      </c>
      <c r="D18"/>
    </row>
    <row r="19" spans="1:4" ht="16" x14ac:dyDescent="0.2">
      <c r="A19" s="5" t="s">
        <v>426</v>
      </c>
      <c r="B19" s="9">
        <v>5</v>
      </c>
      <c r="C19" s="9">
        <v>3</v>
      </c>
      <c r="D19"/>
    </row>
    <row r="20" spans="1:4" ht="16" x14ac:dyDescent="0.2">
      <c r="A20" s="5" t="s">
        <v>227</v>
      </c>
      <c r="B20" s="9">
        <v>5</v>
      </c>
      <c r="C20" s="9">
        <v>4</v>
      </c>
      <c r="D20"/>
    </row>
    <row r="21" spans="1:4" ht="16" x14ac:dyDescent="0.2">
      <c r="A21" s="5" t="s">
        <v>338</v>
      </c>
      <c r="B21" s="9">
        <v>5</v>
      </c>
      <c r="C21" s="9">
        <v>3</v>
      </c>
      <c r="D21"/>
    </row>
    <row r="22" spans="1:4" ht="16" x14ac:dyDescent="0.2">
      <c r="A22" s="5" t="s">
        <v>1345</v>
      </c>
      <c r="B22" s="9">
        <v>5</v>
      </c>
      <c r="C22" s="9">
        <v>4.7105263157894735</v>
      </c>
      <c r="D22"/>
    </row>
    <row r="23" spans="1:4" ht="16" x14ac:dyDescent="0.2">
      <c r="A23"/>
      <c r="B23"/>
      <c r="C23"/>
      <c r="D23"/>
    </row>
    <row r="24" spans="1:4" ht="16" x14ac:dyDescent="0.2">
      <c r="A24"/>
      <c r="B24"/>
      <c r="C24"/>
      <c r="D24"/>
    </row>
    <row r="25" spans="1:4" ht="16" x14ac:dyDescent="0.2">
      <c r="A25"/>
      <c r="B25"/>
      <c r="C25"/>
      <c r="D25"/>
    </row>
    <row r="26" spans="1:4" ht="16" x14ac:dyDescent="0.2">
      <c r="A26"/>
      <c r="B26"/>
      <c r="C26"/>
      <c r="D26"/>
    </row>
    <row r="27" spans="1:4" s="18" customFormat="1" x14ac:dyDescent="0.2"/>
    <row r="28" spans="1:4" s="18" customFormat="1" x14ac:dyDescent="0.2"/>
    <row r="29" spans="1:4" s="18" customFormat="1" x14ac:dyDescent="0.2"/>
    <row r="30" spans="1:4" s="18" customFormat="1" x14ac:dyDescent="0.2"/>
    <row r="31" spans="1:4" s="18" customFormat="1" x14ac:dyDescent="0.2"/>
    <row r="32" spans="1:4" s="18" customFormat="1" x14ac:dyDescent="0.2"/>
    <row r="33" s="18" customFormat="1" x14ac:dyDescent="0.2"/>
    <row r="34" s="18" customFormat="1" x14ac:dyDescent="0.2"/>
    <row r="35" s="18" customFormat="1" x14ac:dyDescent="0.2"/>
    <row r="36" s="18" customFormat="1" x14ac:dyDescent="0.2"/>
    <row r="37" s="18" customFormat="1" x14ac:dyDescent="0.2"/>
    <row r="38" s="18" customFormat="1" x14ac:dyDescent="0.2"/>
    <row r="39" s="18" customFormat="1" x14ac:dyDescent="0.2"/>
    <row r="40" s="18" customFormat="1" x14ac:dyDescent="0.2"/>
    <row r="41" s="18" customFormat="1" x14ac:dyDescent="0.2"/>
    <row r="42" s="18" customFormat="1" x14ac:dyDescent="0.2"/>
    <row r="43" s="18" customFormat="1" x14ac:dyDescent="0.2"/>
    <row r="44" s="18" customFormat="1" x14ac:dyDescent="0.2"/>
    <row r="45" s="18" customFormat="1" x14ac:dyDescent="0.2"/>
    <row r="46" s="18" customFormat="1" x14ac:dyDescent="0.2"/>
    <row r="47" s="18" customFormat="1" x14ac:dyDescent="0.2"/>
    <row r="48" s="18" customFormat="1" x14ac:dyDescent="0.2"/>
    <row r="49" s="18" customFormat="1" x14ac:dyDescent="0.2"/>
    <row r="50" s="18" customFormat="1" x14ac:dyDescent="0.2"/>
    <row r="51" s="18" customFormat="1" x14ac:dyDescent="0.2"/>
    <row r="52" s="18" customFormat="1" x14ac:dyDescent="0.2"/>
    <row r="53" s="18" customFormat="1" x14ac:dyDescent="0.2"/>
    <row r="54" s="18" customFormat="1" x14ac:dyDescent="0.2"/>
    <row r="55" s="18" customFormat="1" x14ac:dyDescent="0.2"/>
    <row r="56" s="18" customFormat="1" x14ac:dyDescent="0.2"/>
    <row r="57" s="18" customFormat="1" x14ac:dyDescent="0.2"/>
    <row r="58" s="18" customFormat="1" x14ac:dyDescent="0.2"/>
    <row r="59" s="18" customFormat="1" x14ac:dyDescent="0.2"/>
    <row r="60" s="18" customFormat="1" x14ac:dyDescent="0.2"/>
    <row r="61" s="18" customFormat="1" x14ac:dyDescent="0.2"/>
    <row r="62" s="18" customFormat="1" x14ac:dyDescent="0.2"/>
    <row r="63" s="18" customFormat="1" x14ac:dyDescent="0.2"/>
    <row r="64" s="18" customFormat="1" x14ac:dyDescent="0.2"/>
    <row r="65" s="18" customFormat="1" x14ac:dyDescent="0.2"/>
    <row r="66" s="18" customFormat="1" x14ac:dyDescent="0.2"/>
    <row r="67" s="18" customFormat="1" x14ac:dyDescent="0.2"/>
    <row r="68" s="18" customFormat="1" x14ac:dyDescent="0.2"/>
    <row r="69" s="18" customFormat="1" x14ac:dyDescent="0.2"/>
    <row r="70" s="18" customFormat="1" x14ac:dyDescent="0.2"/>
    <row r="71" s="18" customFormat="1" x14ac:dyDescent="0.2"/>
    <row r="72" s="18" customFormat="1" x14ac:dyDescent="0.2"/>
    <row r="73" s="18" customFormat="1" x14ac:dyDescent="0.2"/>
    <row r="74" s="18" customFormat="1" x14ac:dyDescent="0.2"/>
    <row r="75" s="18" customFormat="1" x14ac:dyDescent="0.2"/>
    <row r="76" s="18" customFormat="1" x14ac:dyDescent="0.2"/>
    <row r="77" s="18" customFormat="1" x14ac:dyDescent="0.2"/>
    <row r="78" s="18" customFormat="1" x14ac:dyDescent="0.2"/>
    <row r="79" s="18" customFormat="1" x14ac:dyDescent="0.2"/>
    <row r="80" s="18" customFormat="1" x14ac:dyDescent="0.2"/>
    <row r="81" s="18" customFormat="1" x14ac:dyDescent="0.2"/>
    <row r="82" s="18" customFormat="1" x14ac:dyDescent="0.2"/>
    <row r="83" s="18" customFormat="1" x14ac:dyDescent="0.2"/>
    <row r="84" s="18" customFormat="1" x14ac:dyDescent="0.2"/>
    <row r="85" s="18" customFormat="1" x14ac:dyDescent="0.2"/>
    <row r="86" s="18" customFormat="1" x14ac:dyDescent="0.2"/>
    <row r="87" s="18" customFormat="1" x14ac:dyDescent="0.2"/>
    <row r="88" s="18" customFormat="1" x14ac:dyDescent="0.2"/>
    <row r="89" s="18" customFormat="1" x14ac:dyDescent="0.2"/>
    <row r="90" s="18" customFormat="1" x14ac:dyDescent="0.2"/>
    <row r="91" s="18" customFormat="1" x14ac:dyDescent="0.2"/>
    <row r="92" s="18" customFormat="1" x14ac:dyDescent="0.2"/>
    <row r="93" s="18" customFormat="1" x14ac:dyDescent="0.2"/>
    <row r="94" s="18" customFormat="1" x14ac:dyDescent="0.2"/>
    <row r="95" s="18" customFormat="1" x14ac:dyDescent="0.2"/>
    <row r="96" s="18" customFormat="1" x14ac:dyDescent="0.2"/>
    <row r="97" s="18" customFormat="1" x14ac:dyDescent="0.2"/>
    <row r="98" s="18" customFormat="1" x14ac:dyDescent="0.2"/>
    <row r="99" s="18" customFormat="1" x14ac:dyDescent="0.2"/>
    <row r="100" s="18" customFormat="1" x14ac:dyDescent="0.2"/>
    <row r="101" s="18" customFormat="1" x14ac:dyDescent="0.2"/>
    <row r="102" s="18" customFormat="1" x14ac:dyDescent="0.2"/>
    <row r="103" s="18" customFormat="1" x14ac:dyDescent="0.2"/>
    <row r="104" s="18" customFormat="1" x14ac:dyDescent="0.2"/>
    <row r="105" s="18" customFormat="1" x14ac:dyDescent="0.2"/>
    <row r="106" s="18" customFormat="1" x14ac:dyDescent="0.2"/>
    <row r="107" s="18" customFormat="1" x14ac:dyDescent="0.2"/>
    <row r="108" s="18" customFormat="1" x14ac:dyDescent="0.2"/>
    <row r="109" s="18" customFormat="1" x14ac:dyDescent="0.2"/>
    <row r="110" s="18" customFormat="1" x14ac:dyDescent="0.2"/>
    <row r="111" s="18" customFormat="1" x14ac:dyDescent="0.2"/>
    <row r="112" s="18" customFormat="1" x14ac:dyDescent="0.2"/>
    <row r="113" s="18" customFormat="1" x14ac:dyDescent="0.2"/>
    <row r="114" s="18" customFormat="1" x14ac:dyDescent="0.2"/>
    <row r="115" s="18" customFormat="1" x14ac:dyDescent="0.2"/>
    <row r="116" s="18" customFormat="1" x14ac:dyDescent="0.2"/>
    <row r="117" s="18" customFormat="1" x14ac:dyDescent="0.2"/>
    <row r="118" s="18" customFormat="1" x14ac:dyDescent="0.2"/>
    <row r="119" s="18" customFormat="1" x14ac:dyDescent="0.2"/>
    <row r="120" s="18" customFormat="1" x14ac:dyDescent="0.2"/>
    <row r="121" s="18" customFormat="1" x14ac:dyDescent="0.2"/>
    <row r="122" s="18" customFormat="1" x14ac:dyDescent="0.2"/>
    <row r="123" s="18" customFormat="1" x14ac:dyDescent="0.2"/>
    <row r="124" s="18" customFormat="1" x14ac:dyDescent="0.2"/>
    <row r="125" s="18" customFormat="1" x14ac:dyDescent="0.2"/>
    <row r="126" s="18" customFormat="1" x14ac:dyDescent="0.2"/>
    <row r="127" s="18" customFormat="1" x14ac:dyDescent="0.2"/>
    <row r="128" s="18" customFormat="1" x14ac:dyDescent="0.2"/>
    <row r="129" s="18" customFormat="1" x14ac:dyDescent="0.2"/>
    <row r="130" s="18" customFormat="1" x14ac:dyDescent="0.2"/>
    <row r="131" s="18" customFormat="1" x14ac:dyDescent="0.2"/>
    <row r="132" s="18" customFormat="1" x14ac:dyDescent="0.2"/>
    <row r="133" s="18" customFormat="1" x14ac:dyDescent="0.2"/>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7ABFAD-0068-A041-98AC-AF3D4027B083}">
  <sheetPr>
    <tabColor theme="9" tint="-0.499984740745262"/>
  </sheetPr>
  <dimension ref="A1:BG133"/>
  <sheetViews>
    <sheetView showGridLines="0" zoomScale="91" zoomScaleNormal="138" workbookViewId="0">
      <selection activeCell="N44" sqref="N44"/>
    </sheetView>
  </sheetViews>
  <sheetFormatPr baseColWidth="10" defaultRowHeight="15" x14ac:dyDescent="0.2"/>
  <cols>
    <col min="1" max="1" width="18.83203125" style="17" customWidth="1"/>
    <col min="2" max="2" width="12.33203125" style="17" customWidth="1"/>
    <col min="3" max="4" width="13.6640625" style="17" customWidth="1"/>
    <col min="5" max="5" width="13" style="17" customWidth="1"/>
    <col min="6" max="59" width="4.6640625" style="18" bestFit="1" customWidth="1"/>
    <col min="60" max="361" width="4.6640625" style="17" bestFit="1" customWidth="1"/>
    <col min="362" max="365" width="5.6640625" style="17" bestFit="1" customWidth="1"/>
    <col min="366" max="366" width="11" style="17" bestFit="1" customWidth="1"/>
    <col min="367" max="16384" width="10.83203125" style="17"/>
  </cols>
  <sheetData>
    <row r="1" spans="1:4" ht="16" x14ac:dyDescent="0.2">
      <c r="A1" s="4" t="s">
        <v>10</v>
      </c>
      <c r="B1" t="s">
        <v>63</v>
      </c>
    </row>
    <row r="3" spans="1:4" s="19" customFormat="1" ht="17" x14ac:dyDescent="0.2">
      <c r="A3" s="6" t="s">
        <v>1344</v>
      </c>
      <c r="B3" t="s">
        <v>1353</v>
      </c>
      <c r="C3" s="7" t="s">
        <v>1349</v>
      </c>
      <c r="D3" s="7" t="s">
        <v>1352</v>
      </c>
    </row>
    <row r="4" spans="1:4" ht="16" x14ac:dyDescent="0.2">
      <c r="A4" s="5" t="s">
        <v>54</v>
      </c>
      <c r="B4" s="9">
        <v>5</v>
      </c>
      <c r="C4" s="9">
        <v>6.083333333333333</v>
      </c>
      <c r="D4" s="9">
        <v>5</v>
      </c>
    </row>
    <row r="5" spans="1:4" ht="16" x14ac:dyDescent="0.2">
      <c r="A5" s="21" t="s">
        <v>76</v>
      </c>
      <c r="B5" s="9">
        <v>5</v>
      </c>
      <c r="C5" s="9">
        <v>6.25</v>
      </c>
      <c r="D5" s="9">
        <v>5</v>
      </c>
    </row>
    <row r="6" spans="1:4" ht="16" x14ac:dyDescent="0.2">
      <c r="A6" s="21" t="s">
        <v>108</v>
      </c>
      <c r="B6" s="9">
        <v>5</v>
      </c>
      <c r="C6" s="9">
        <v>6.5</v>
      </c>
      <c r="D6" s="9">
        <v>5</v>
      </c>
    </row>
    <row r="7" spans="1:4" ht="16" x14ac:dyDescent="0.2">
      <c r="A7" s="21" t="s">
        <v>120</v>
      </c>
      <c r="B7" s="9">
        <v>5</v>
      </c>
      <c r="C7" s="9">
        <v>6.5</v>
      </c>
      <c r="D7" s="9">
        <v>5</v>
      </c>
    </row>
    <row r="8" spans="1:4" ht="16" x14ac:dyDescent="0.2">
      <c r="A8" s="21" t="s">
        <v>88</v>
      </c>
      <c r="B8" s="9">
        <v>5</v>
      </c>
      <c r="C8" s="9">
        <v>6</v>
      </c>
      <c r="D8" s="9">
        <v>5</v>
      </c>
    </row>
    <row r="9" spans="1:4" ht="16" x14ac:dyDescent="0.2">
      <c r="A9" s="21" t="s">
        <v>56</v>
      </c>
      <c r="B9" s="9">
        <v>5</v>
      </c>
      <c r="C9" s="9">
        <v>5.916666666666667</v>
      </c>
      <c r="D9" s="9">
        <v>5</v>
      </c>
    </row>
    <row r="10" spans="1:4" ht="16" x14ac:dyDescent="0.2">
      <c r="A10" s="5" t="s">
        <v>183</v>
      </c>
      <c r="B10" s="9">
        <v>5</v>
      </c>
      <c r="C10" s="9">
        <v>3.8333333333333335</v>
      </c>
      <c r="D10" s="9">
        <v>5</v>
      </c>
    </row>
    <row r="11" spans="1:4" ht="16" x14ac:dyDescent="0.2">
      <c r="A11" s="21" t="s">
        <v>390</v>
      </c>
      <c r="B11" s="9">
        <v>5</v>
      </c>
      <c r="C11" s="9">
        <v>3</v>
      </c>
      <c r="D11" s="9">
        <v>5</v>
      </c>
    </row>
    <row r="12" spans="1:4" ht="16" x14ac:dyDescent="0.2">
      <c r="A12" s="21" t="s">
        <v>413</v>
      </c>
      <c r="B12" s="9">
        <v>5</v>
      </c>
      <c r="C12" s="9">
        <v>3</v>
      </c>
      <c r="D12" s="9">
        <v>5</v>
      </c>
    </row>
    <row r="13" spans="1:4" ht="16" x14ac:dyDescent="0.2">
      <c r="A13" s="21" t="s">
        <v>185</v>
      </c>
      <c r="B13" s="9">
        <v>5</v>
      </c>
      <c r="C13" s="9">
        <v>4.666666666666667</v>
      </c>
      <c r="D13" s="9">
        <v>5</v>
      </c>
    </row>
    <row r="14" spans="1:4" ht="16" x14ac:dyDescent="0.2">
      <c r="A14" s="5" t="s">
        <v>199</v>
      </c>
      <c r="B14" s="9">
        <v>5</v>
      </c>
      <c r="C14" s="9">
        <v>4.5</v>
      </c>
      <c r="D14" s="9">
        <v>5</v>
      </c>
    </row>
    <row r="15" spans="1:4" ht="16" x14ac:dyDescent="0.2">
      <c r="A15" s="21" t="s">
        <v>465</v>
      </c>
      <c r="B15" s="9">
        <v>5</v>
      </c>
      <c r="C15" s="9">
        <v>5</v>
      </c>
      <c r="D15" s="9">
        <v>5</v>
      </c>
    </row>
    <row r="16" spans="1:4" ht="16" x14ac:dyDescent="0.2">
      <c r="A16" s="21" t="s">
        <v>201</v>
      </c>
      <c r="B16" s="9">
        <v>5</v>
      </c>
      <c r="C16" s="9">
        <v>5</v>
      </c>
      <c r="D16" s="9">
        <v>5</v>
      </c>
    </row>
    <row r="17" spans="1:5" ht="16" x14ac:dyDescent="0.2">
      <c r="A17" s="21" t="s">
        <v>290</v>
      </c>
      <c r="B17" s="9">
        <v>5</v>
      </c>
      <c r="C17" s="9">
        <v>4.5</v>
      </c>
      <c r="D17" s="9">
        <v>5</v>
      </c>
    </row>
    <row r="18" spans="1:5" ht="16" x14ac:dyDescent="0.2">
      <c r="A18" s="21" t="s">
        <v>214</v>
      </c>
      <c r="B18" s="9">
        <v>5</v>
      </c>
      <c r="C18" s="9">
        <v>4.5</v>
      </c>
      <c r="D18" s="9">
        <v>5</v>
      </c>
    </row>
    <row r="19" spans="1:5" ht="16" x14ac:dyDescent="0.2">
      <c r="A19" s="21" t="s">
        <v>313</v>
      </c>
      <c r="B19" s="9">
        <v>5</v>
      </c>
      <c r="C19" s="9">
        <v>4</v>
      </c>
      <c r="D19" s="9">
        <v>5</v>
      </c>
    </row>
    <row r="20" spans="1:5" ht="16" x14ac:dyDescent="0.2">
      <c r="A20" s="5" t="s">
        <v>239</v>
      </c>
      <c r="B20" s="9">
        <v>5</v>
      </c>
      <c r="C20" s="9">
        <v>4.125</v>
      </c>
      <c r="D20" s="9">
        <v>5</v>
      </c>
    </row>
    <row r="21" spans="1:5" ht="16" x14ac:dyDescent="0.2">
      <c r="A21" s="21" t="s">
        <v>241</v>
      </c>
      <c r="B21" s="9">
        <v>5</v>
      </c>
      <c r="C21" s="9">
        <v>4.5999999999999996</v>
      </c>
      <c r="D21" s="9">
        <v>5</v>
      </c>
    </row>
    <row r="22" spans="1:5" ht="16" x14ac:dyDescent="0.2">
      <c r="A22" s="21" t="s">
        <v>266</v>
      </c>
      <c r="B22" s="9">
        <v>5</v>
      </c>
      <c r="C22" s="9">
        <v>3.3333333333333335</v>
      </c>
      <c r="D22" s="9">
        <v>5</v>
      </c>
      <c r="E22"/>
    </row>
    <row r="23" spans="1:5" ht="16" x14ac:dyDescent="0.2">
      <c r="A23" s="5" t="s">
        <v>225</v>
      </c>
      <c r="B23" s="9">
        <v>5</v>
      </c>
      <c r="C23" s="9">
        <v>3.6666666666666665</v>
      </c>
      <c r="D23" s="9">
        <v>5</v>
      </c>
      <c r="E23"/>
    </row>
    <row r="24" spans="1:5" ht="16" x14ac:dyDescent="0.2">
      <c r="A24" s="21" t="s">
        <v>426</v>
      </c>
      <c r="B24" s="9">
        <v>5</v>
      </c>
      <c r="C24" s="9">
        <v>3</v>
      </c>
      <c r="D24" s="9">
        <v>5</v>
      </c>
      <c r="E24"/>
    </row>
    <row r="25" spans="1:5" ht="16" x14ac:dyDescent="0.2">
      <c r="A25" s="21" t="s">
        <v>227</v>
      </c>
      <c r="B25" s="9">
        <v>5</v>
      </c>
      <c r="C25" s="9">
        <v>4</v>
      </c>
      <c r="D25" s="9">
        <v>5</v>
      </c>
      <c r="E25"/>
    </row>
    <row r="26" spans="1:5" ht="16" x14ac:dyDescent="0.2">
      <c r="A26" s="5" t="s">
        <v>336</v>
      </c>
      <c r="B26" s="9">
        <v>5</v>
      </c>
      <c r="C26" s="9">
        <v>3</v>
      </c>
      <c r="D26" s="9">
        <v>5</v>
      </c>
      <c r="E26"/>
    </row>
    <row r="27" spans="1:5" s="18" customFormat="1" ht="16" x14ac:dyDescent="0.2">
      <c r="A27" s="21" t="s">
        <v>338</v>
      </c>
      <c r="B27" s="9">
        <v>5</v>
      </c>
      <c r="C27" s="9">
        <v>3</v>
      </c>
      <c r="D27" s="9">
        <v>5</v>
      </c>
    </row>
    <row r="28" spans="1:5" s="18" customFormat="1" ht="16" x14ac:dyDescent="0.2">
      <c r="A28" s="5" t="s">
        <v>1345</v>
      </c>
      <c r="B28" s="9">
        <v>5</v>
      </c>
      <c r="C28" s="9">
        <v>4.7105263157894735</v>
      </c>
      <c r="D28" s="9">
        <v>5</v>
      </c>
    </row>
    <row r="29" spans="1:5" s="18" customFormat="1" x14ac:dyDescent="0.2"/>
    <row r="30" spans="1:5" s="18" customFormat="1" x14ac:dyDescent="0.2"/>
    <row r="31" spans="1:5" s="18" customFormat="1" x14ac:dyDescent="0.2"/>
    <row r="32" spans="1:5" s="18" customFormat="1" x14ac:dyDescent="0.2"/>
    <row r="33" s="18" customFormat="1" x14ac:dyDescent="0.2"/>
    <row r="34" s="18" customFormat="1" x14ac:dyDescent="0.2"/>
    <row r="35" s="18" customFormat="1" x14ac:dyDescent="0.2"/>
    <row r="36" s="18" customFormat="1" x14ac:dyDescent="0.2"/>
    <row r="37" s="18" customFormat="1" x14ac:dyDescent="0.2"/>
    <row r="38" s="18" customFormat="1" x14ac:dyDescent="0.2"/>
    <row r="39" s="18" customFormat="1" x14ac:dyDescent="0.2"/>
    <row r="40" s="18" customFormat="1" x14ac:dyDescent="0.2"/>
    <row r="41" s="18" customFormat="1" x14ac:dyDescent="0.2"/>
    <row r="42" s="18" customFormat="1" x14ac:dyDescent="0.2"/>
    <row r="43" s="18" customFormat="1" x14ac:dyDescent="0.2"/>
    <row r="44" s="18" customFormat="1" x14ac:dyDescent="0.2"/>
    <row r="45" s="18" customFormat="1" x14ac:dyDescent="0.2"/>
    <row r="46" s="18" customFormat="1" x14ac:dyDescent="0.2"/>
    <row r="47" s="18" customFormat="1" x14ac:dyDescent="0.2"/>
    <row r="48" s="18" customFormat="1" x14ac:dyDescent="0.2"/>
    <row r="49" s="18" customFormat="1" x14ac:dyDescent="0.2"/>
    <row r="50" s="18" customFormat="1" x14ac:dyDescent="0.2"/>
    <row r="51" s="18" customFormat="1" x14ac:dyDescent="0.2"/>
    <row r="52" s="18" customFormat="1" x14ac:dyDescent="0.2"/>
    <row r="53" s="18" customFormat="1" x14ac:dyDescent="0.2"/>
    <row r="54" s="18" customFormat="1" x14ac:dyDescent="0.2"/>
    <row r="55" s="18" customFormat="1" x14ac:dyDescent="0.2"/>
    <row r="56" s="18" customFormat="1" x14ac:dyDescent="0.2"/>
    <row r="57" s="18" customFormat="1" x14ac:dyDescent="0.2"/>
    <row r="58" s="18" customFormat="1" x14ac:dyDescent="0.2"/>
    <row r="59" s="18" customFormat="1" x14ac:dyDescent="0.2"/>
    <row r="60" s="18" customFormat="1" x14ac:dyDescent="0.2"/>
    <row r="61" s="18" customFormat="1" x14ac:dyDescent="0.2"/>
    <row r="62" s="18" customFormat="1" x14ac:dyDescent="0.2"/>
    <row r="63" s="18" customFormat="1" x14ac:dyDescent="0.2"/>
    <row r="64" s="18" customFormat="1" x14ac:dyDescent="0.2"/>
    <row r="65" s="18" customFormat="1" x14ac:dyDescent="0.2"/>
    <row r="66" s="18" customFormat="1" x14ac:dyDescent="0.2"/>
    <row r="67" s="18" customFormat="1" x14ac:dyDescent="0.2"/>
    <row r="68" s="18" customFormat="1" x14ac:dyDescent="0.2"/>
    <row r="69" s="18" customFormat="1" x14ac:dyDescent="0.2"/>
    <row r="70" s="18" customFormat="1" x14ac:dyDescent="0.2"/>
    <row r="71" s="18" customFormat="1" x14ac:dyDescent="0.2"/>
    <row r="72" s="18" customFormat="1" x14ac:dyDescent="0.2"/>
    <row r="73" s="18" customFormat="1" x14ac:dyDescent="0.2"/>
    <row r="74" s="18" customFormat="1" x14ac:dyDescent="0.2"/>
    <row r="75" s="18" customFormat="1" x14ac:dyDescent="0.2"/>
    <row r="76" s="18" customFormat="1" x14ac:dyDescent="0.2"/>
    <row r="77" s="18" customFormat="1" x14ac:dyDescent="0.2"/>
    <row r="78" s="18" customFormat="1" x14ac:dyDescent="0.2"/>
    <row r="79" s="18" customFormat="1" x14ac:dyDescent="0.2"/>
    <row r="80" s="18" customFormat="1" x14ac:dyDescent="0.2"/>
    <row r="81" s="18" customFormat="1" x14ac:dyDescent="0.2"/>
    <row r="82" s="18" customFormat="1" x14ac:dyDescent="0.2"/>
    <row r="83" s="18" customFormat="1" x14ac:dyDescent="0.2"/>
    <row r="84" s="18" customFormat="1" x14ac:dyDescent="0.2"/>
    <row r="85" s="18" customFormat="1" x14ac:dyDescent="0.2"/>
    <row r="86" s="18" customFormat="1" x14ac:dyDescent="0.2"/>
    <row r="87" s="18" customFormat="1" x14ac:dyDescent="0.2"/>
    <row r="88" s="18" customFormat="1" x14ac:dyDescent="0.2"/>
    <row r="89" s="18" customFormat="1" x14ac:dyDescent="0.2"/>
    <row r="90" s="18" customFormat="1" x14ac:dyDescent="0.2"/>
    <row r="91" s="18" customFormat="1" x14ac:dyDescent="0.2"/>
    <row r="92" s="18" customFormat="1" x14ac:dyDescent="0.2"/>
    <row r="93" s="18" customFormat="1" x14ac:dyDescent="0.2"/>
    <row r="94" s="18" customFormat="1" x14ac:dyDescent="0.2"/>
    <row r="95" s="18" customFormat="1" x14ac:dyDescent="0.2"/>
    <row r="96" s="18" customFormat="1" x14ac:dyDescent="0.2"/>
    <row r="97" s="18" customFormat="1" x14ac:dyDescent="0.2"/>
    <row r="98" s="18" customFormat="1" x14ac:dyDescent="0.2"/>
    <row r="99" s="18" customFormat="1" x14ac:dyDescent="0.2"/>
    <row r="100" s="18" customFormat="1" x14ac:dyDescent="0.2"/>
    <row r="101" s="18" customFormat="1" x14ac:dyDescent="0.2"/>
    <row r="102" s="18" customFormat="1" x14ac:dyDescent="0.2"/>
    <row r="103" s="18" customFormat="1" x14ac:dyDescent="0.2"/>
    <row r="104" s="18" customFormat="1" x14ac:dyDescent="0.2"/>
    <row r="105" s="18" customFormat="1" x14ac:dyDescent="0.2"/>
    <row r="106" s="18" customFormat="1" x14ac:dyDescent="0.2"/>
    <row r="107" s="18" customFormat="1" x14ac:dyDescent="0.2"/>
    <row r="108" s="18" customFormat="1" x14ac:dyDescent="0.2"/>
    <row r="109" s="18" customFormat="1" x14ac:dyDescent="0.2"/>
    <row r="110" s="18" customFormat="1" x14ac:dyDescent="0.2"/>
    <row r="111" s="18" customFormat="1" x14ac:dyDescent="0.2"/>
    <row r="112" s="18" customFormat="1" x14ac:dyDescent="0.2"/>
    <row r="113" s="18" customFormat="1" x14ac:dyDescent="0.2"/>
    <row r="114" s="18" customFormat="1" x14ac:dyDescent="0.2"/>
    <row r="115" s="18" customFormat="1" x14ac:dyDescent="0.2"/>
    <row r="116" s="18" customFormat="1" x14ac:dyDescent="0.2"/>
    <row r="117" s="18" customFormat="1" x14ac:dyDescent="0.2"/>
    <row r="118" s="18" customFormat="1" x14ac:dyDescent="0.2"/>
    <row r="119" s="18" customFormat="1" x14ac:dyDescent="0.2"/>
    <row r="120" s="18" customFormat="1" x14ac:dyDescent="0.2"/>
    <row r="121" s="18" customFormat="1" x14ac:dyDescent="0.2"/>
    <row r="122" s="18" customFormat="1" x14ac:dyDescent="0.2"/>
    <row r="123" s="18" customFormat="1" x14ac:dyDescent="0.2"/>
    <row r="124" s="18" customFormat="1" x14ac:dyDescent="0.2"/>
    <row r="125" s="18" customFormat="1" x14ac:dyDescent="0.2"/>
    <row r="126" s="18" customFormat="1" x14ac:dyDescent="0.2"/>
    <row r="127" s="18" customFormat="1" x14ac:dyDescent="0.2"/>
    <row r="128" s="18" customFormat="1" x14ac:dyDescent="0.2"/>
    <row r="129" s="18" customFormat="1" x14ac:dyDescent="0.2"/>
    <row r="130" s="18" customFormat="1" x14ac:dyDescent="0.2"/>
    <row r="131" s="18" customFormat="1" x14ac:dyDescent="0.2"/>
    <row r="132" s="18" customFormat="1" x14ac:dyDescent="0.2"/>
    <row r="133" s="18" customFormat="1" x14ac:dyDescent="0.2"/>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README</vt:lpstr>
      <vt:lpstr>yyyy-mm-dd_CSF_Profile</vt:lpstr>
      <vt:lpstr>Pivot by Function</vt:lpstr>
      <vt:lpstr>Category Pivot Radar</vt:lpstr>
      <vt:lpstr>Category Pivot Bar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Steve McMichael</dc:creator>
  <cp:lastModifiedBy>Steve McMichael</cp:lastModifiedBy>
  <dcterms:created xsi:type="dcterms:W3CDTF">2025-12-07T14:17:14Z</dcterms:created>
  <dcterms:modified xsi:type="dcterms:W3CDTF">2025-12-07T19:05:49Z</dcterms:modified>
</cp:coreProperties>
</file>