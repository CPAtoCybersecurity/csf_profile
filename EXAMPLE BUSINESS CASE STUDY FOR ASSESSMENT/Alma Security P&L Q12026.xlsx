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ve/Documents/Documents-prod01/1_PROJECTS_ACTIVE/2026-01-06-Alma-Business-Case/"/>
    </mc:Choice>
  </mc:AlternateContent>
  <xr:revisionPtr revIDLastSave="0" documentId="13_ncr:1_{B0505EE7-7D24-334B-84A7-FFA4BB6296FF}" xr6:coauthVersionLast="47" xr6:coauthVersionMax="47" xr10:uidLastSave="{00000000-0000-0000-0000-000000000000}"/>
  <bookViews>
    <workbookView xWindow="7320" yWindow="4160" windowWidth="26840" windowHeight="15940" xr2:uid="{8077C9A2-14B7-944C-83D6-C7C48EC9591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" i="1" l="1"/>
  <c r="C43" i="1"/>
  <c r="D36" i="1"/>
  <c r="C36" i="1"/>
  <c r="B36" i="1"/>
  <c r="D28" i="1"/>
  <c r="D45" i="1" s="1"/>
  <c r="C28" i="1"/>
  <c r="C45" i="1" s="1"/>
  <c r="B28" i="1"/>
  <c r="B45" i="1" s="1"/>
  <c r="D18" i="1"/>
  <c r="C18" i="1"/>
  <c r="B18" i="1"/>
  <c r="D13" i="1"/>
  <c r="C13" i="1"/>
  <c r="B13" i="1"/>
  <c r="B21" i="1" l="1"/>
  <c r="C44" i="1"/>
  <c r="D44" i="1"/>
  <c r="C20" i="1"/>
  <c r="B39" i="1"/>
  <c r="B42" i="1"/>
  <c r="C42" i="1"/>
  <c r="D42" i="1"/>
  <c r="B20" i="1"/>
  <c r="B30" i="1" s="1"/>
  <c r="B38" i="1" s="1"/>
  <c r="D20" i="1"/>
  <c r="B31" i="1"/>
  <c r="C30" i="1" l="1"/>
  <c r="C21" i="1"/>
  <c r="D30" i="1"/>
  <c r="D21" i="1"/>
  <c r="D31" i="1" l="1"/>
  <c r="D38" i="1"/>
  <c r="D39" i="1" s="1"/>
  <c r="C38" i="1"/>
  <c r="C39" i="1" s="1"/>
  <c r="C31" i="1"/>
</calcChain>
</file>

<file path=xl/sharedStrings.xml><?xml version="1.0" encoding="utf-8"?>
<sst xmlns="http://schemas.openxmlformats.org/spreadsheetml/2006/main" count="48" uniqueCount="46">
  <si>
    <t>Alma Security</t>
  </si>
  <si>
    <t>Profit &amp; Loss Statement ($ in thousands)</t>
  </si>
  <si>
    <t>For the Year Ended December 31</t>
  </si>
  <si>
    <t>2024</t>
  </si>
  <si>
    <t>2025</t>
  </si>
  <si>
    <t>2026E</t>
  </si>
  <si>
    <t>Revenue</t>
  </si>
  <si>
    <t>Subscription Revenue</t>
  </si>
  <si>
    <t>Professional Services</t>
  </si>
  <si>
    <t>Other Revenue</t>
  </si>
  <si>
    <t>Total Revenue</t>
  </si>
  <si>
    <t>Cost of Revenue</t>
  </si>
  <si>
    <t>Hosting &amp; Infrastructure</t>
  </si>
  <si>
    <t>Customer Support</t>
  </si>
  <si>
    <t>Total Cost of Revenue</t>
  </si>
  <si>
    <t>Gross Profit</t>
  </si>
  <si>
    <t>Gross Margin %</t>
  </si>
  <si>
    <t>Operating Expenses</t>
  </si>
  <si>
    <t>Research &amp; Development</t>
  </si>
  <si>
    <t>Sales &amp; Marketing</t>
  </si>
  <si>
    <t>General &amp; Administrative</t>
  </si>
  <si>
    <t>IT &amp; Security</t>
  </si>
  <si>
    <t>Total Operating Expenses</t>
  </si>
  <si>
    <t>Operating Income (Loss)</t>
  </si>
  <si>
    <t>Operating Margin %</t>
  </si>
  <si>
    <t>Other Income (Expense)</t>
  </si>
  <si>
    <t>Interest Income</t>
  </si>
  <si>
    <t>Interest Expense</t>
  </si>
  <si>
    <t>Total Other Income (Expense)</t>
  </si>
  <si>
    <t>Net Income (Loss)</t>
  </si>
  <si>
    <t>Net Margin %</t>
  </si>
  <si>
    <t>Key Metrics &amp; Assumptions</t>
  </si>
  <si>
    <t>Revenue per Employee ($K)</t>
  </si>
  <si>
    <t>Headcount Growth %</t>
  </si>
  <si>
    <t>N/A</t>
  </si>
  <si>
    <t>Revenue Growth %</t>
  </si>
  <si>
    <t>IT &amp; Security as % of OpEx</t>
  </si>
  <si>
    <t>• 2024: 200 employees - security team understaffed after losing 5 key people</t>
  </si>
  <si>
    <t>• 2025: 250 employees - hired security replacements, continued growth</t>
  </si>
  <si>
    <t>• 2026: 300 employees - full security team (15) + 5 new A-tier hires</t>
  </si>
  <si>
    <t>NOTE: This is a fictional case study created for educational purposes by Simply Cyber Academy.</t>
  </si>
  <si>
    <t>Inspired by Daniel Miessler's TELOS project: https://github.com/danielmiessler/Telos</t>
  </si>
  <si>
    <t>ACTUAL</t>
  </si>
  <si>
    <t>FORECAST</t>
  </si>
  <si>
    <t>Employees (Beginning of Year)*</t>
  </si>
  <si>
    <t>Employee Count Assumptions: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</si>
</sst>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0.0%"/>
    <numFmt numFmtId="166" formatCode="\$#,##0;&quot;($&quot;#,##0\);\-"/>
  </numFmts>
  <fonts count="11" x14ac:knownFonts="1">
    <font>
      <sz val="12"/>
      <color theme="1"/>
      <name val="Aptos Narrow"/>
      <family val="2"/>
      <scheme val="minor"/>
    </font>
    <font>
      <b/>
      <sz val="16"/>
      <name val="Cambria"/>
      <family val="1"/>
    </font>
    <font>
      <b/>
      <sz val="14"/>
      <name val="Cambria"/>
      <family val="1"/>
    </font>
    <font>
      <b/>
      <sz val="11"/>
      <name val="Cambria"/>
      <family val="1"/>
    </font>
    <font>
      <b/>
      <i/>
      <sz val="11"/>
      <name val="Cambria"/>
      <family val="1"/>
    </font>
    <font>
      <sz val="11"/>
      <color rgb="FF0000FF"/>
      <name val="Cambria"/>
      <family val="1"/>
    </font>
    <font>
      <b/>
      <sz val="12"/>
      <name val="Cambria"/>
      <family val="1"/>
    </font>
    <font>
      <b/>
      <u/>
      <sz val="11"/>
      <name val="Cambria"/>
      <family val="1"/>
    </font>
    <font>
      <b/>
      <sz val="10"/>
      <name val="Cambria"/>
      <family val="1"/>
    </font>
    <font>
      <sz val="9"/>
      <name val="Cambria"/>
      <family val="1"/>
    </font>
    <font>
      <i/>
      <sz val="9"/>
      <color rgb="FF666666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3" fontId="5" fillId="0" borderId="0" xfId="0" applyNumberFormat="1" applyFont="1"/>
    <xf numFmtId="0" fontId="3" fillId="2" borderId="0" xfId="0" applyFont="1" applyFill="1"/>
    <xf numFmtId="0" fontId="0" fillId="2" borderId="0" xfId="0" applyFill="1"/>
    <xf numFmtId="164" fontId="5" fillId="0" borderId="0" xfId="0" applyNumberFormat="1" applyFont="1"/>
    <xf numFmtId="0" fontId="3" fillId="0" borderId="0" xfId="0" applyFont="1"/>
    <xf numFmtId="164" fontId="3" fillId="0" borderId="1" xfId="0" applyNumberFormat="1" applyFont="1" applyBorder="1"/>
    <xf numFmtId="164" fontId="3" fillId="0" borderId="0" xfId="0" applyNumberFormat="1" applyFont="1"/>
    <xf numFmtId="165" fontId="0" fillId="0" borderId="0" xfId="0" applyNumberFormat="1"/>
    <xf numFmtId="166" fontId="3" fillId="0" borderId="0" xfId="0" applyNumberFormat="1" applyFont="1"/>
    <xf numFmtId="166" fontId="5" fillId="0" borderId="0" xfId="0" applyNumberFormat="1" applyFont="1"/>
    <xf numFmtId="166" fontId="3" fillId="0" borderId="1" xfId="0" applyNumberFormat="1" applyFont="1" applyBorder="1"/>
    <xf numFmtId="0" fontId="6" fillId="0" borderId="0" xfId="0" applyFont="1"/>
    <xf numFmtId="166" fontId="6" fillId="0" borderId="2" xfId="0" applyNumberFormat="1" applyFont="1" applyBorder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F2A7C-DBDB-1B4D-863F-401DFA45E3C9}">
  <dimension ref="A1:D53"/>
  <sheetViews>
    <sheetView tabSelected="1" workbookViewId="0">
      <selection activeCell="A55" sqref="A55"/>
    </sheetView>
  </sheetViews>
  <sheetFormatPr baseColWidth="10" defaultRowHeight="16" x14ac:dyDescent="0.2"/>
  <cols>
    <col min="1" max="1" width="62.1640625" bestFit="1" customWidth="1"/>
    <col min="2" max="4" width="10.33203125" bestFit="1" customWidth="1"/>
  </cols>
  <sheetData>
    <row r="1" spans="1:4" ht="21" x14ac:dyDescent="0.25">
      <c r="A1" s="1" t="s">
        <v>0</v>
      </c>
    </row>
    <row r="2" spans="1:4" ht="18" x14ac:dyDescent="0.2">
      <c r="A2" s="2" t="s">
        <v>1</v>
      </c>
    </row>
    <row r="3" spans="1:4" x14ac:dyDescent="0.2">
      <c r="A3" t="s">
        <v>2</v>
      </c>
    </row>
    <row r="5" spans="1:4" x14ac:dyDescent="0.2">
      <c r="B5" s="3" t="s">
        <v>3</v>
      </c>
      <c r="C5" s="3" t="s">
        <v>4</v>
      </c>
      <c r="D5" s="3" t="s">
        <v>5</v>
      </c>
    </row>
    <row r="6" spans="1:4" x14ac:dyDescent="0.2">
      <c r="B6" s="3" t="s">
        <v>42</v>
      </c>
      <c r="C6" s="3" t="s">
        <v>42</v>
      </c>
      <c r="D6" s="3" t="s">
        <v>43</v>
      </c>
    </row>
    <row r="7" spans="1:4" x14ac:dyDescent="0.2">
      <c r="A7" s="4" t="s">
        <v>44</v>
      </c>
      <c r="B7" s="5">
        <v>200</v>
      </c>
      <c r="C7" s="5">
        <v>250</v>
      </c>
      <c r="D7" s="5">
        <v>300</v>
      </c>
    </row>
    <row r="9" spans="1:4" x14ac:dyDescent="0.2">
      <c r="A9" s="6" t="s">
        <v>6</v>
      </c>
      <c r="B9" s="7"/>
      <c r="C9" s="7"/>
      <c r="D9" s="7"/>
    </row>
    <row r="10" spans="1:4" x14ac:dyDescent="0.2">
      <c r="A10" t="s">
        <v>7</v>
      </c>
      <c r="B10" s="8">
        <v>20000</v>
      </c>
      <c r="C10" s="8">
        <v>27000</v>
      </c>
      <c r="D10" s="8">
        <v>36000</v>
      </c>
    </row>
    <row r="11" spans="1:4" x14ac:dyDescent="0.2">
      <c r="A11" t="s">
        <v>8</v>
      </c>
      <c r="B11" s="8">
        <v>1800</v>
      </c>
      <c r="C11" s="8">
        <v>2700</v>
      </c>
      <c r="D11" s="8">
        <v>3600</v>
      </c>
    </row>
    <row r="12" spans="1:4" x14ac:dyDescent="0.2">
      <c r="A12" t="s">
        <v>9</v>
      </c>
      <c r="B12" s="8">
        <v>400</v>
      </c>
      <c r="C12" s="8">
        <v>540</v>
      </c>
      <c r="D12" s="8">
        <v>720</v>
      </c>
    </row>
    <row r="13" spans="1:4" x14ac:dyDescent="0.2">
      <c r="A13" s="9" t="s">
        <v>10</v>
      </c>
      <c r="B13" s="10">
        <f>SUM(B10:B12)</f>
        <v>22200</v>
      </c>
      <c r="C13" s="10">
        <f>SUM(C10:C12)</f>
        <v>30240</v>
      </c>
      <c r="D13" s="10">
        <f>SUM(D10:D12)</f>
        <v>40320</v>
      </c>
    </row>
    <row r="15" spans="1:4" x14ac:dyDescent="0.2">
      <c r="A15" s="6" t="s">
        <v>11</v>
      </c>
      <c r="B15" s="7"/>
      <c r="C15" s="7"/>
      <c r="D15" s="7"/>
    </row>
    <row r="16" spans="1:4" x14ac:dyDescent="0.2">
      <c r="A16" t="s">
        <v>12</v>
      </c>
      <c r="B16" s="8">
        <v>2800</v>
      </c>
      <c r="C16" s="8">
        <v>3920</v>
      </c>
      <c r="D16" s="8">
        <v>5040</v>
      </c>
    </row>
    <row r="17" spans="1:4" x14ac:dyDescent="0.2">
      <c r="A17" t="s">
        <v>13</v>
      </c>
      <c r="B17" s="8">
        <v>1610</v>
      </c>
      <c r="C17" s="8">
        <v>2030</v>
      </c>
      <c r="D17" s="8">
        <v>2450</v>
      </c>
    </row>
    <row r="18" spans="1:4" x14ac:dyDescent="0.2">
      <c r="A18" s="9" t="s">
        <v>14</v>
      </c>
      <c r="B18" s="10">
        <f>SUM(B16:B17)</f>
        <v>4410</v>
      </c>
      <c r="C18" s="10">
        <f>SUM(C16:C17)</f>
        <v>5950</v>
      </c>
      <c r="D18" s="10">
        <f>SUM(D16:D17)</f>
        <v>7490</v>
      </c>
    </row>
    <row r="20" spans="1:4" x14ac:dyDescent="0.2">
      <c r="A20" s="9" t="s">
        <v>15</v>
      </c>
      <c r="B20" s="11">
        <f>B13-B18</f>
        <v>17790</v>
      </c>
      <c r="C20" s="11">
        <f>C13-C18</f>
        <v>24290</v>
      </c>
      <c r="D20" s="11">
        <f>D13-D18</f>
        <v>32830</v>
      </c>
    </row>
    <row r="21" spans="1:4" x14ac:dyDescent="0.2">
      <c r="A21" t="s">
        <v>16</v>
      </c>
      <c r="B21" s="12">
        <f>IF(B13=0,0,B20/B13)</f>
        <v>0.80135135135135138</v>
      </c>
      <c r="C21" s="12">
        <f>IF(C13=0,0,C20/C13)</f>
        <v>0.8032407407407407</v>
      </c>
      <c r="D21" s="12">
        <f>IF(D13=0,0,D20/D13)</f>
        <v>0.81423611111111116</v>
      </c>
    </row>
    <row r="23" spans="1:4" x14ac:dyDescent="0.2">
      <c r="A23" s="6" t="s">
        <v>17</v>
      </c>
      <c r="B23" s="7"/>
      <c r="C23" s="7"/>
      <c r="D23" s="7"/>
    </row>
    <row r="24" spans="1:4" x14ac:dyDescent="0.2">
      <c r="A24" t="s">
        <v>18</v>
      </c>
      <c r="B24" s="8">
        <v>10950</v>
      </c>
      <c r="C24" s="8">
        <v>13800</v>
      </c>
      <c r="D24" s="8">
        <v>16500</v>
      </c>
    </row>
    <row r="25" spans="1:4" x14ac:dyDescent="0.2">
      <c r="A25" t="s">
        <v>19</v>
      </c>
      <c r="B25" s="8">
        <v>11600</v>
      </c>
      <c r="C25" s="8">
        <v>14500</v>
      </c>
      <c r="D25" s="8">
        <v>17400</v>
      </c>
    </row>
    <row r="26" spans="1:4" x14ac:dyDescent="0.2">
      <c r="A26" t="s">
        <v>20</v>
      </c>
      <c r="B26" s="8">
        <v>6000</v>
      </c>
      <c r="C26" s="8">
        <v>7500</v>
      </c>
      <c r="D26" s="8">
        <v>9000</v>
      </c>
    </row>
    <row r="27" spans="1:4" x14ac:dyDescent="0.2">
      <c r="A27" t="s">
        <v>21</v>
      </c>
      <c r="B27" s="8">
        <v>4200</v>
      </c>
      <c r="C27" s="8">
        <v>5700</v>
      </c>
      <c r="D27" s="8">
        <v>7200</v>
      </c>
    </row>
    <row r="28" spans="1:4" x14ac:dyDescent="0.2">
      <c r="A28" s="9" t="s">
        <v>22</v>
      </c>
      <c r="B28" s="10">
        <f>SUM(B24:B27)</f>
        <v>32750</v>
      </c>
      <c r="C28" s="10">
        <f>SUM(C24:C27)</f>
        <v>41500</v>
      </c>
      <c r="D28" s="10">
        <f>SUM(D24:D27)</f>
        <v>50100</v>
      </c>
    </row>
    <row r="30" spans="1:4" x14ac:dyDescent="0.2">
      <c r="A30" s="9" t="s">
        <v>23</v>
      </c>
      <c r="B30" s="13">
        <f>B20-B28</f>
        <v>-14960</v>
      </c>
      <c r="C30" s="13">
        <f>C20-C28</f>
        <v>-17210</v>
      </c>
      <c r="D30" s="13">
        <f>D20-D28</f>
        <v>-17270</v>
      </c>
    </row>
    <row r="31" spans="1:4" x14ac:dyDescent="0.2">
      <c r="A31" t="s">
        <v>24</v>
      </c>
      <c r="B31" s="12">
        <f>IF(B13=0,0,B30/B13)</f>
        <v>-0.67387387387387387</v>
      </c>
      <c r="C31" s="12">
        <f>IF(C13=0,0,C30/C13)</f>
        <v>-0.56911375661375663</v>
      </c>
      <c r="D31" s="12">
        <f>IF(D13=0,0,D30/D13)</f>
        <v>-0.42832341269841268</v>
      </c>
    </row>
    <row r="33" spans="1:4" x14ac:dyDescent="0.2">
      <c r="A33" s="6" t="s">
        <v>25</v>
      </c>
      <c r="B33" s="7"/>
      <c r="C33" s="7"/>
      <c r="D33" s="7"/>
    </row>
    <row r="34" spans="1:4" x14ac:dyDescent="0.2">
      <c r="A34" t="s">
        <v>26</v>
      </c>
      <c r="B34" s="14">
        <v>120</v>
      </c>
      <c r="C34" s="14">
        <v>150</v>
      </c>
      <c r="D34" s="14">
        <v>180</v>
      </c>
    </row>
    <row r="35" spans="1:4" x14ac:dyDescent="0.2">
      <c r="A35" t="s">
        <v>27</v>
      </c>
      <c r="B35" s="14">
        <v>-80</v>
      </c>
      <c r="C35" s="14">
        <v>-100</v>
      </c>
      <c r="D35" s="14">
        <v>-130</v>
      </c>
    </row>
    <row r="36" spans="1:4" x14ac:dyDescent="0.2">
      <c r="A36" s="9" t="s">
        <v>28</v>
      </c>
      <c r="B36" s="15">
        <f>SUM(B34:B35)</f>
        <v>40</v>
      </c>
      <c r="C36" s="15">
        <f>SUM(C34:C35)</f>
        <v>50</v>
      </c>
      <c r="D36" s="15">
        <f>SUM(D34:D35)</f>
        <v>50</v>
      </c>
    </row>
    <row r="38" spans="1:4" ht="17" thickBot="1" x14ac:dyDescent="0.25">
      <c r="A38" s="16" t="s">
        <v>29</v>
      </c>
      <c r="B38" s="17">
        <f>B30+B36</f>
        <v>-14920</v>
      </c>
      <c r="C38" s="17">
        <f>C30+C36</f>
        <v>-17160</v>
      </c>
      <c r="D38" s="17">
        <f>D30+D36</f>
        <v>-17220</v>
      </c>
    </row>
    <row r="39" spans="1:4" ht="17" thickTop="1" x14ac:dyDescent="0.2">
      <c r="A39" t="s">
        <v>30</v>
      </c>
      <c r="B39" s="12">
        <f>IF(B13=0,0,B38/B13)</f>
        <v>-0.67207207207207209</v>
      </c>
      <c r="C39" s="12">
        <f>IF(C13=0,0,C38/C13)</f>
        <v>-0.56746031746031744</v>
      </c>
      <c r="D39" s="12">
        <f>IF(D13=0,0,D38/D13)</f>
        <v>-0.42708333333333331</v>
      </c>
    </row>
    <row r="41" spans="1:4" x14ac:dyDescent="0.2">
      <c r="A41" s="18" t="s">
        <v>31</v>
      </c>
    </row>
    <row r="42" spans="1:4" x14ac:dyDescent="0.2">
      <c r="A42" t="s">
        <v>32</v>
      </c>
      <c r="B42" s="22">
        <f>B13/B7</f>
        <v>111</v>
      </c>
      <c r="C42" s="22">
        <f>C13/C7</f>
        <v>120.96</v>
      </c>
      <c r="D42" s="22">
        <f>D13/D7</f>
        <v>134.4</v>
      </c>
    </row>
    <row r="43" spans="1:4" x14ac:dyDescent="0.2">
      <c r="A43" t="s">
        <v>33</v>
      </c>
      <c r="B43" s="23" t="s">
        <v>34</v>
      </c>
      <c r="C43" s="24">
        <f>(C7-B7)/B7</f>
        <v>0.25</v>
      </c>
      <c r="D43" s="24">
        <f>(D7-C7)/C7</f>
        <v>0.2</v>
      </c>
    </row>
    <row r="44" spans="1:4" x14ac:dyDescent="0.2">
      <c r="A44" t="s">
        <v>35</v>
      </c>
      <c r="B44" s="23" t="s">
        <v>34</v>
      </c>
      <c r="C44" s="24">
        <f>(C13-B13)/B13</f>
        <v>0.36216216216216218</v>
      </c>
      <c r="D44" s="24">
        <f>(D13-C13)/C13</f>
        <v>0.33333333333333331</v>
      </c>
    </row>
    <row r="45" spans="1:4" x14ac:dyDescent="0.2">
      <c r="A45" t="s">
        <v>36</v>
      </c>
      <c r="B45" s="24">
        <f>IF(B28=0,0,B27/B28)</f>
        <v>0.12824427480916031</v>
      </c>
      <c r="C45" s="24">
        <f>IF(C28=0,0,C27/C28)</f>
        <v>0.13734939759036144</v>
      </c>
      <c r="D45" s="24">
        <f>IF(D28=0,0,D27/D28)</f>
        <v>0.1437125748502994</v>
      </c>
    </row>
    <row r="47" spans="1:4" x14ac:dyDescent="0.2">
      <c r="A47" s="19" t="s">
        <v>45</v>
      </c>
    </row>
    <row r="48" spans="1:4" x14ac:dyDescent="0.2">
      <c r="A48" s="20" t="s">
        <v>37</v>
      </c>
    </row>
    <row r="49" spans="1:1" x14ac:dyDescent="0.2">
      <c r="A49" s="20" t="s">
        <v>38</v>
      </c>
    </row>
    <row r="50" spans="1:1" x14ac:dyDescent="0.2">
      <c r="A50" s="20" t="s">
        <v>39</v>
      </c>
    </row>
    <row r="52" spans="1:1" x14ac:dyDescent="0.2">
      <c r="A52" s="21" t="s">
        <v>40</v>
      </c>
    </row>
    <row r="53" spans="1:1" x14ac:dyDescent="0.2">
      <c r="A53" s="2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McMichael</dc:creator>
  <cp:lastModifiedBy>Steve McMichael</cp:lastModifiedBy>
  <dcterms:created xsi:type="dcterms:W3CDTF">2026-01-06T10:56:11Z</dcterms:created>
  <dcterms:modified xsi:type="dcterms:W3CDTF">2026-01-06T10:59:09Z</dcterms:modified>
</cp:coreProperties>
</file>